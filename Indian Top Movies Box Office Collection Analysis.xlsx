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jaya sankar\Downloads\"/>
    </mc:Choice>
  </mc:AlternateContent>
  <xr:revisionPtr revIDLastSave="0" documentId="8_{59628920-DCAB-42F3-BE6F-7E17C16025B6}" xr6:coauthVersionLast="47" xr6:coauthVersionMax="47" xr10:uidLastSave="{00000000-0000-0000-0000-000000000000}"/>
  <bookViews>
    <workbookView xWindow="-108" yWindow="-108" windowWidth="23256" windowHeight="12456" activeTab="3" xr2:uid="{B2C0C6F1-7C71-48D7-89CD-F3B9C5A635E5}"/>
  </bookViews>
  <sheets>
    <sheet name="Top Movie" sheetId="5" r:id="rId1"/>
    <sheet name="KPI" sheetId="6" r:id="rId2"/>
    <sheet name="Data" sheetId="1" r:id="rId3"/>
    <sheet name="Dashboard" sheetId="2" r:id="rId4"/>
  </sheets>
  <definedNames>
    <definedName name="Slicer_Languag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C56" i="2"/>
  <c r="C55" i="2"/>
  <c r="C54" i="2"/>
  <c r="C53" i="2"/>
  <c r="C52" i="2"/>
  <c r="C51" i="2"/>
  <c r="B51" i="2"/>
  <c r="B52" i="2"/>
  <c r="B53" i="2"/>
  <c r="B54" i="2"/>
  <c r="B55" i="2"/>
  <c r="B56" i="2"/>
  <c r="A51" i="2"/>
  <c r="A52" i="2"/>
  <c r="A53" i="2"/>
  <c r="A54" i="2"/>
  <c r="A55" i="2"/>
  <c r="A56" i="2"/>
  <c r="P7" i="2"/>
  <c r="Q5" i="2"/>
  <c r="Q4" i="2"/>
  <c r="Q2" i="2"/>
  <c r="L12" i="1"/>
  <c r="L11" i="1"/>
</calcChain>
</file>

<file path=xl/sharedStrings.xml><?xml version="1.0" encoding="utf-8"?>
<sst xmlns="http://schemas.openxmlformats.org/spreadsheetml/2006/main" count="179" uniqueCount="96">
  <si>
    <t>Movie Name</t>
  </si>
  <si>
    <t>Year</t>
  </si>
  <si>
    <t>Language</t>
  </si>
  <si>
    <t>Dangal</t>
  </si>
  <si>
    <t xml:space="preserve">    Hindi</t>
  </si>
  <si>
    <t xml:space="preserve">      Rating</t>
  </si>
  <si>
    <t xml:space="preserve">    Telugu</t>
  </si>
  <si>
    <t>Pushpa2: The Rule</t>
  </si>
  <si>
    <t>Dhurandhar2: The Revenge</t>
  </si>
  <si>
    <t>Dhurandar</t>
  </si>
  <si>
    <t>RRR</t>
  </si>
  <si>
    <t>KGF Chapter-2</t>
  </si>
  <si>
    <t xml:space="preserve">    Kannada</t>
  </si>
  <si>
    <t>Jawan</t>
  </si>
  <si>
    <t>Kalki 2898Ad</t>
  </si>
  <si>
    <t>Pathaan</t>
  </si>
  <si>
    <t>Animal</t>
  </si>
  <si>
    <t>Bhajrangi Bhaijaan</t>
  </si>
  <si>
    <t>Stree-2</t>
  </si>
  <si>
    <t>Kantara Chapter-1</t>
  </si>
  <si>
    <t>Secret Superstar</t>
  </si>
  <si>
    <t>Chhaava</t>
  </si>
  <si>
    <t>PK</t>
  </si>
  <si>
    <t>Robo 2.0</t>
  </si>
  <si>
    <t xml:space="preserve">    Tamil</t>
  </si>
  <si>
    <t>Gadar-2</t>
  </si>
  <si>
    <t>Salaar: Cease Fire - Part 1</t>
  </si>
  <si>
    <t>Sultan</t>
  </si>
  <si>
    <t>Jailer</t>
  </si>
  <si>
    <t>Baahubali: The Beginning</t>
  </si>
  <si>
    <t>Leo</t>
  </si>
  <si>
    <t>Sanju</t>
  </si>
  <si>
    <t>Saiyaara</t>
  </si>
  <si>
    <t>Tiger Zinda Hai</t>
  </si>
  <si>
    <t>Padmaavat</t>
  </si>
  <si>
    <t>Dhoom 3</t>
  </si>
  <si>
    <t>Coolie</t>
  </si>
  <si>
    <t>Ponniyan Selvan-1</t>
  </si>
  <si>
    <t>Tiger-3</t>
  </si>
  <si>
    <t>War Part-1</t>
  </si>
  <si>
    <t>Dunki</t>
  </si>
  <si>
    <t>Saaho</t>
  </si>
  <si>
    <t>Brahmastra Part-1 Shiva</t>
  </si>
  <si>
    <t>Devara Part-1</t>
  </si>
  <si>
    <t>Vikram</t>
  </si>
  <si>
    <t>Bhool Bhulaiyaa-3</t>
  </si>
  <si>
    <t>Andhaadhun</t>
  </si>
  <si>
    <t>Adipurush</t>
  </si>
  <si>
    <t>Kantara</t>
  </si>
  <si>
    <t>Happy New Year</t>
  </si>
  <si>
    <t>3 Idiots</t>
  </si>
  <si>
    <t>Chennai Express</t>
  </si>
  <si>
    <t>Singham Again</t>
  </si>
  <si>
    <t>Simmba</t>
  </si>
  <si>
    <t>Kick</t>
  </si>
  <si>
    <t>The Greatest Of All Time</t>
  </si>
  <si>
    <t>Hero</t>
  </si>
  <si>
    <t>Amir Khan</t>
  </si>
  <si>
    <t>Prabhas Raju</t>
  </si>
  <si>
    <t>Allu Arjun</t>
  </si>
  <si>
    <t>Ranveer Singh</t>
  </si>
  <si>
    <t>Ram Charan &amp; Jr. NTR</t>
  </si>
  <si>
    <t>Yash</t>
  </si>
  <si>
    <t>Shah Rukh Khan</t>
  </si>
  <si>
    <t>Ranbir Kapoor</t>
  </si>
  <si>
    <t>Salman Khan</t>
  </si>
  <si>
    <t>Shradda Kapoor</t>
  </si>
  <si>
    <t>Vicky Kaushal</t>
  </si>
  <si>
    <t>Rajinikanth</t>
  </si>
  <si>
    <t>Sunny Deol</t>
  </si>
  <si>
    <t>Thalapathy Vijay</t>
  </si>
  <si>
    <t>Ahaan Panday</t>
  </si>
  <si>
    <t>Shahid Kapoor</t>
  </si>
  <si>
    <t>Jayam Ravi</t>
  </si>
  <si>
    <t>Hrithik Roshan &amp; Tiger</t>
  </si>
  <si>
    <t>Jr.NTR</t>
  </si>
  <si>
    <t>Kamal Hassan</t>
  </si>
  <si>
    <t>Kartik Aryan</t>
  </si>
  <si>
    <t>Ayushmann Khurrana</t>
  </si>
  <si>
    <t>Rishab Shetty</t>
  </si>
  <si>
    <t>Ajay Devgan</t>
  </si>
  <si>
    <t>Total Movies</t>
  </si>
  <si>
    <t>Collection CR</t>
  </si>
  <si>
    <t>Total Collection</t>
  </si>
  <si>
    <t>Highest Grossing Movie</t>
  </si>
  <si>
    <t>Average Collection</t>
  </si>
  <si>
    <t xml:space="preserve"> </t>
  </si>
  <si>
    <t>Indian Movies Dashboard</t>
  </si>
  <si>
    <t>Sum of Collection CR</t>
  </si>
  <si>
    <t>Count of Movie Name</t>
  </si>
  <si>
    <t>Krish 3</t>
  </si>
  <si>
    <t>Hrithik Roshan</t>
  </si>
  <si>
    <t>Average of Rating</t>
  </si>
  <si>
    <t>Average of Collection CR2</t>
  </si>
  <si>
    <t>Grand Total</t>
  </si>
  <si>
    <t>Baahubali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</si>
</sst>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4" formatCode="_ &quot;₹&quot;\ * #,##0.00_ ;_ &quot;₹&quot;\ * \-#,##0.00_ ;_ &quot;₹&quot;\ * &quot;-&quot;??_ ;_ @_ "/>
    <numFmt numFmtId="164" formatCode="_ [$₹-4009]\ * #,##0.00_ ;_ [$₹-4009]\ * \-#,##0.00_ ;_ [$₹-4009]\ * &quot;-&quot;??_ ;_ @_ "/>
    <numFmt numFmtId="165" formatCode="&quot;₹&quot;\ #,##0\ &quot;Cr&quot;"/>
    <numFmt numFmtId="166" formatCode="0.0"/>
  </numFmts>
  <fonts count="7" x14ac:knownFonts="1">
    <font>
      <sz val="11"/>
      <color theme="1"/>
      <name val="Calibri"/>
      <family val="2"/>
      <scheme val="minor"/>
    </font>
    <font>
      <sz val="11"/>
      <color theme="1"/>
      <name val="Calibri"/>
      <family val="2"/>
      <scheme val="minor"/>
    </font>
    <font>
      <b/>
      <i/>
      <sz val="11"/>
      <color theme="1"/>
      <name val="Calibri"/>
      <family val="2"/>
      <scheme val="minor"/>
    </font>
    <font>
      <b/>
      <sz val="12"/>
      <color theme="1"/>
      <name val="Calibri"/>
      <family val="2"/>
      <scheme val="minor"/>
    </font>
    <font>
      <sz val="12"/>
      <color theme="1"/>
      <name val="Calibri"/>
      <family val="2"/>
      <scheme val="minor"/>
    </font>
    <font>
      <b/>
      <sz val="18"/>
      <color theme="1"/>
      <name val="Calibri"/>
      <family val="2"/>
      <scheme val="minor"/>
    </font>
    <font>
      <b/>
      <sz val="12"/>
      <color rgb="FFFF000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2" fillId="0" borderId="0" xfId="0" applyFont="1"/>
    <xf numFmtId="44" fontId="0" fillId="0" borderId="0" xfId="1" applyFont="1"/>
    <xf numFmtId="164" fontId="2" fillId="0" borderId="0" xfId="1" applyNumberFormat="1" applyFont="1"/>
    <xf numFmtId="164" fontId="0" fillId="0" borderId="0" xfId="1" applyNumberFormat="1" applyFont="1"/>
    <xf numFmtId="0" fontId="3" fillId="0" borderId="0" xfId="0" applyFont="1"/>
    <xf numFmtId="0" fontId="4" fillId="0" borderId="0" xfId="0" applyFont="1"/>
    <xf numFmtId="165" fontId="4" fillId="0" borderId="0" xfId="0" applyNumberFormat="1" applyFont="1"/>
    <xf numFmtId="164" fontId="4" fillId="0" borderId="0" xfId="0" applyNumberFormat="1" applyFont="1"/>
    <xf numFmtId="0" fontId="6" fillId="2" borderId="0" xfId="0" applyFont="1" applyFill="1"/>
    <xf numFmtId="8" fontId="0" fillId="0" borderId="0" xfId="0" applyNumberFormat="1"/>
    <xf numFmtId="164" fontId="0" fillId="0" borderId="0" xfId="0" applyNumberFormat="1"/>
    <xf numFmtId="166"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5" fillId="0" borderId="0" xfId="0" applyFont="1" applyAlignment="1">
      <alignment horizontal="center"/>
    </xf>
    <xf numFmtId="0" fontId="0" fillId="0" borderId="0" xfId="0" applyNumberFormat="1"/>
  </cellXfs>
  <cellStyles count="2">
    <cellStyle name="Currency" xfId="1" builtinId="4"/>
    <cellStyle name="Normal" xfId="0" builtinId="0"/>
  </cellStyles>
  <dxfs count="6">
    <dxf>
      <numFmt numFmtId="165" formatCode="&quot;₹&quot;\ #,##0\ &quot;Cr&quot;"/>
    </dxf>
    <dxf>
      <numFmt numFmtId="165" formatCode="&quot;₹&quot;\ #,##0\ &quot;Cr&quot;"/>
    </dxf>
    <dxf>
      <numFmt numFmtId="164" formatCode="_ [$₹-4009]\ * #,##0.00_ ;_ [$₹-4009]\ * \-#,##0.00_ ;_ [$₹-4009]\ * &quot;-&quot;??_ ;_ @_ "/>
    </dxf>
    <dxf>
      <font>
        <b/>
        <i/>
        <strike val="0"/>
        <condense val="0"/>
        <extend val="0"/>
        <outline val="0"/>
        <shadow val="0"/>
        <u val="none"/>
        <vertAlign val="baseline"/>
        <sz val="11"/>
        <color theme="1"/>
        <name val="Calibri"/>
        <family val="2"/>
        <scheme val="minor"/>
      </font>
    </dxf>
    <dxf>
      <numFmt numFmtId="165" formatCode="&quot;₹&quot;\ #,##0\ &quot;Cr&quot;"/>
    </dxf>
    <dxf>
      <numFmt numFmtId="165" formatCode="&quot;₹&quot;\ #,##0\ &quot;Cr&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Top Movies Box Office Collection Analysis.xlsx]Top Movie!PivotTable3</c:name>
    <c:fmtId val="5"/>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Segoe UI" panose="020B0502040204020203" pitchFamily="34" charset="0"/>
                <a:ea typeface="Segoe UI Black" panose="020B0A02040204020203" pitchFamily="34" charset="0"/>
                <a:cs typeface="Segoe UI" panose="020B0502040204020203" pitchFamily="34" charset="0"/>
              </a:defRPr>
            </a:pPr>
            <a:r>
              <a:rPr lang="en-US" b="1" i="0">
                <a:solidFill>
                  <a:srgbClr val="FF0000"/>
                </a:solidFill>
                <a:latin typeface="Segoe UI" panose="020B0502040204020203" pitchFamily="34" charset="0"/>
                <a:ea typeface="Segoe UI Black" panose="020B0A02040204020203" pitchFamily="34" charset="0"/>
                <a:cs typeface="Segoe UI" panose="020B0502040204020203" pitchFamily="34" charset="0"/>
              </a:rPr>
              <a:t>Top</a:t>
            </a:r>
            <a:r>
              <a:rPr lang="en-US" b="1" i="0" baseline="0">
                <a:solidFill>
                  <a:srgbClr val="FF0000"/>
                </a:solidFill>
                <a:latin typeface="Segoe UI" panose="020B0502040204020203" pitchFamily="34" charset="0"/>
                <a:ea typeface="Segoe UI Black" panose="020B0A02040204020203" pitchFamily="34" charset="0"/>
                <a:cs typeface="Segoe UI" panose="020B0502040204020203" pitchFamily="34" charset="0"/>
              </a:rPr>
              <a:t> Movies By Box Office Collection</a:t>
            </a:r>
            <a:endParaRPr lang="en-US" b="1" i="0">
              <a:solidFill>
                <a:srgbClr val="FF0000"/>
              </a:solidFill>
              <a:latin typeface="Segoe UI" panose="020B0502040204020203" pitchFamily="34" charset="0"/>
              <a:ea typeface="Segoe UI Black" panose="020B0A02040204020203" pitchFamily="34" charset="0"/>
              <a:cs typeface="Segoe UI" panose="020B0502040204020203" pitchFamily="34" charset="0"/>
            </a:endParaRPr>
          </a:p>
        </c:rich>
      </c:tx>
      <c:layout>
        <c:manualLayout>
          <c:xMode val="edge"/>
          <c:yMode val="edge"/>
          <c:x val="0.29809638952611239"/>
          <c:y val="5.44734792766288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Segoe UI" panose="020B0502040204020203" pitchFamily="34" charset="0"/>
              <a:ea typeface="Segoe UI Black" panose="020B0A02040204020203" pitchFamily="34" charset="0"/>
              <a:cs typeface="Segoe UI" panose="020B0502040204020203"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Movie'!$B$3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Movie'!$A$4:$A$11</c:f>
              <c:strCache>
                <c:ptCount val="7"/>
                <c:pt idx="0">
                  <c:v>Robo 2.0</c:v>
                </c:pt>
                <c:pt idx="1">
                  <c:v>Jailer</c:v>
                </c:pt>
                <c:pt idx="2">
                  <c:v>Leo</c:v>
                </c:pt>
                <c:pt idx="3">
                  <c:v>Coolie</c:v>
                </c:pt>
                <c:pt idx="4">
                  <c:v>Ponniyan Selvan-1</c:v>
                </c:pt>
                <c:pt idx="5">
                  <c:v>The Greatest Of All Time</c:v>
                </c:pt>
                <c:pt idx="6">
                  <c:v>Vikram</c:v>
                </c:pt>
              </c:strCache>
            </c:strRef>
          </c:cat>
          <c:val>
            <c:numRef>
              <c:f>'Top Movie'!$B$4:$B$11</c:f>
              <c:numCache>
                <c:formatCode>_ [$₹-4009]\ * #,##0.00_ ;_ [$₹-4009]\ * \-#,##0.00_ ;_ [$₹-4009]\ * "-"??_ ;_ @_ </c:formatCode>
                <c:ptCount val="7"/>
                <c:pt idx="0">
                  <c:v>709</c:v>
                </c:pt>
                <c:pt idx="1">
                  <c:v>607</c:v>
                </c:pt>
                <c:pt idx="2">
                  <c:v>601</c:v>
                </c:pt>
                <c:pt idx="3">
                  <c:v>519</c:v>
                </c:pt>
                <c:pt idx="4">
                  <c:v>488</c:v>
                </c:pt>
                <c:pt idx="5">
                  <c:v>454</c:v>
                </c:pt>
                <c:pt idx="6">
                  <c:v>418</c:v>
                </c:pt>
              </c:numCache>
            </c:numRef>
          </c:val>
          <c:extLst>
            <c:ext xmlns:c16="http://schemas.microsoft.com/office/drawing/2014/chart" uri="{C3380CC4-5D6E-409C-BE32-E72D297353CC}">
              <c16:uniqueId val="{00000000-8A43-449B-AE51-FAC0BBA71BAA}"/>
            </c:ext>
          </c:extLst>
        </c:ser>
        <c:dLbls>
          <c:dLblPos val="outEnd"/>
          <c:showLegendKey val="0"/>
          <c:showVal val="1"/>
          <c:showCatName val="0"/>
          <c:showSerName val="0"/>
          <c:showPercent val="0"/>
          <c:showBubbleSize val="0"/>
        </c:dLbls>
        <c:gapWidth val="50"/>
        <c:overlap val="-20"/>
        <c:axId val="1102062095"/>
        <c:axId val="1102063535"/>
      </c:barChart>
      <c:catAx>
        <c:axId val="1102062095"/>
        <c:scaling>
          <c:orientation val="maxMin"/>
        </c:scaling>
        <c:delete val="0"/>
        <c:axPos val="l"/>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063535"/>
        <c:crosses val="autoZero"/>
        <c:auto val="1"/>
        <c:lblAlgn val="ctr"/>
        <c:lblOffset val="100"/>
        <c:noMultiLvlLbl val="0"/>
      </c:catAx>
      <c:valAx>
        <c:axId val="1102063535"/>
        <c:scaling>
          <c:orientation val="minMax"/>
        </c:scaling>
        <c:delete val="1"/>
        <c:axPos val="t"/>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low"/>
        <c:crossAx val="110206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rot="0"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182880</xdr:rowOff>
    </xdr:from>
    <xdr:to>
      <xdr:col>2</xdr:col>
      <xdr:colOff>7620</xdr:colOff>
      <xdr:row>6</xdr:row>
      <xdr:rowOff>7620</xdr:rowOff>
    </xdr:to>
    <xdr:sp macro="" textlink="KPI!A4">
      <xdr:nvSpPr>
        <xdr:cNvPr id="4" name="Rectangle 3">
          <a:extLst>
            <a:ext uri="{FF2B5EF4-FFF2-40B4-BE49-F238E27FC236}">
              <a16:creationId xmlns:a16="http://schemas.microsoft.com/office/drawing/2014/main" id="{7659758C-B19D-A025-CA2B-C0570094CF1B}"/>
            </a:ext>
          </a:extLst>
        </xdr:cNvPr>
        <xdr:cNvSpPr/>
      </xdr:nvSpPr>
      <xdr:spPr>
        <a:xfrm>
          <a:off x="0" y="480060"/>
          <a:ext cx="2354580" cy="800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000" b="1" i="0" u="none" strike="noStrike">
              <a:solidFill>
                <a:schemeClr val="bg1"/>
              </a:solidFill>
              <a:latin typeface="Calibri"/>
              <a:ea typeface="Calibri"/>
              <a:cs typeface="Calibri"/>
            </a:rPr>
            <a:t>Total Movies</a:t>
          </a:r>
        </a:p>
        <a:p>
          <a:pPr algn="ctr"/>
          <a:fld id="{CBB07119-BF45-4889-86CE-A36F32398CD0}" type="TxLink">
            <a:rPr lang="en-US" sz="2000" b="1" i="0" u="none" strike="noStrike">
              <a:solidFill>
                <a:schemeClr val="bg1"/>
              </a:solidFill>
              <a:latin typeface="Calibri"/>
              <a:ea typeface="Calibri"/>
              <a:cs typeface="Calibri"/>
            </a:rPr>
            <a:pPr algn="ctr"/>
            <a:t>8</a:t>
          </a:fld>
          <a:endParaRPr lang="en-IN" sz="2000" b="1">
            <a:solidFill>
              <a:schemeClr val="bg1"/>
            </a:solidFill>
          </a:endParaRPr>
        </a:p>
      </xdr:txBody>
    </xdr:sp>
    <xdr:clientData/>
  </xdr:twoCellAnchor>
  <xdr:oneCellAnchor>
    <xdr:from>
      <xdr:col>3</xdr:col>
      <xdr:colOff>502920</xdr:colOff>
      <xdr:row>8</xdr:row>
      <xdr:rowOff>114300</xdr:rowOff>
    </xdr:from>
    <xdr:ext cx="184731" cy="264560"/>
    <xdr:sp macro="" textlink="">
      <xdr:nvSpPr>
        <xdr:cNvPr id="5" name="TextBox 4">
          <a:extLst>
            <a:ext uri="{FF2B5EF4-FFF2-40B4-BE49-F238E27FC236}">
              <a16:creationId xmlns:a16="http://schemas.microsoft.com/office/drawing/2014/main" id="{72859701-9065-2D26-ECE3-5FB6810747BD}"/>
            </a:ext>
          </a:extLst>
        </xdr:cNvPr>
        <xdr:cNvSpPr txBox="1"/>
      </xdr:nvSpPr>
      <xdr:spPr>
        <a:xfrm>
          <a:off x="3459480" y="1638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0</xdr:colOff>
      <xdr:row>1</xdr:row>
      <xdr:rowOff>182880</xdr:rowOff>
    </xdr:from>
    <xdr:to>
      <xdr:col>3</xdr:col>
      <xdr:colOff>594360</xdr:colOff>
      <xdr:row>6</xdr:row>
      <xdr:rowOff>7620</xdr:rowOff>
    </xdr:to>
    <xdr:sp macro="" textlink="KPI!B4">
      <xdr:nvSpPr>
        <xdr:cNvPr id="6" name="Rectangle 5">
          <a:extLst>
            <a:ext uri="{FF2B5EF4-FFF2-40B4-BE49-F238E27FC236}">
              <a16:creationId xmlns:a16="http://schemas.microsoft.com/office/drawing/2014/main" id="{80A0936A-4284-F236-4CA7-CF1B47414064}"/>
            </a:ext>
          </a:extLst>
        </xdr:cNvPr>
        <xdr:cNvSpPr/>
      </xdr:nvSpPr>
      <xdr:spPr>
        <a:xfrm>
          <a:off x="2346960" y="480060"/>
          <a:ext cx="2095500" cy="80010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A8AB325-98CF-4B40-B486-F49CAEA166E4}" type="TxLink">
            <a:rPr lang="en-US" sz="2000" b="1" i="0" u="none" strike="noStrike" baseline="0">
              <a:solidFill>
                <a:schemeClr val="bg1"/>
              </a:solidFill>
              <a:latin typeface="Calibri"/>
              <a:ea typeface="Calibri"/>
              <a:cs typeface="Calibri"/>
            </a:rPr>
            <a:pPr algn="ctr"/>
            <a:t>₹ 3,796 Cr</a:t>
          </a:fld>
          <a:endParaRPr lang="en-US" sz="2000" b="1" baseline="0">
            <a:solidFill>
              <a:schemeClr val="bg1"/>
            </a:solidFill>
          </a:endParaRPr>
        </a:p>
      </xdr:txBody>
    </xdr:sp>
    <xdr:clientData/>
  </xdr:twoCellAnchor>
  <xdr:twoCellAnchor>
    <xdr:from>
      <xdr:col>3</xdr:col>
      <xdr:colOff>594360</xdr:colOff>
      <xdr:row>1</xdr:row>
      <xdr:rowOff>182880</xdr:rowOff>
    </xdr:from>
    <xdr:to>
      <xdr:col>6</xdr:col>
      <xdr:colOff>510540</xdr:colOff>
      <xdr:row>6</xdr:row>
      <xdr:rowOff>15240</xdr:rowOff>
    </xdr:to>
    <xdr:sp macro="" textlink="'Top Movie'!A4">
      <xdr:nvSpPr>
        <xdr:cNvPr id="7" name="Rectangle 6">
          <a:extLst>
            <a:ext uri="{FF2B5EF4-FFF2-40B4-BE49-F238E27FC236}">
              <a16:creationId xmlns:a16="http://schemas.microsoft.com/office/drawing/2014/main" id="{A07E819F-FFCC-5A4E-A9E6-0C891241E67F}"/>
            </a:ext>
          </a:extLst>
        </xdr:cNvPr>
        <xdr:cNvSpPr/>
      </xdr:nvSpPr>
      <xdr:spPr>
        <a:xfrm>
          <a:off x="4442460" y="480060"/>
          <a:ext cx="2773680" cy="80772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6F699497-DCDA-440A-88AB-FD48AFE2C581}" type="TxLink">
            <a:rPr lang="en-US" sz="2000" b="1" i="0" u="none" strike="noStrike">
              <a:solidFill>
                <a:schemeClr val="bg1"/>
              </a:solidFill>
              <a:latin typeface="Calibri"/>
              <a:ea typeface="Calibri"/>
              <a:cs typeface="Calibri"/>
            </a:rPr>
            <a:pPr algn="l"/>
            <a:t>Robo 2.0</a:t>
          </a:fld>
          <a:endParaRPr lang="en-IN" sz="2000" b="1">
            <a:solidFill>
              <a:schemeClr val="bg1"/>
            </a:solidFill>
          </a:endParaRPr>
        </a:p>
      </xdr:txBody>
    </xdr:sp>
    <xdr:clientData/>
  </xdr:twoCellAnchor>
  <xdr:twoCellAnchor>
    <xdr:from>
      <xdr:col>6</xdr:col>
      <xdr:colOff>502920</xdr:colOff>
      <xdr:row>1</xdr:row>
      <xdr:rowOff>182880</xdr:rowOff>
    </xdr:from>
    <xdr:to>
      <xdr:col>9</xdr:col>
      <xdr:colOff>259080</xdr:colOff>
      <xdr:row>6</xdr:row>
      <xdr:rowOff>15240</xdr:rowOff>
    </xdr:to>
    <xdr:sp macro="" textlink="KPI!C4">
      <xdr:nvSpPr>
        <xdr:cNvPr id="8" name="Rectangle 7">
          <a:extLst>
            <a:ext uri="{FF2B5EF4-FFF2-40B4-BE49-F238E27FC236}">
              <a16:creationId xmlns:a16="http://schemas.microsoft.com/office/drawing/2014/main" id="{B0F6FAA6-3158-2321-EC0A-4CE579279069}"/>
            </a:ext>
          </a:extLst>
        </xdr:cNvPr>
        <xdr:cNvSpPr/>
      </xdr:nvSpPr>
      <xdr:spPr>
        <a:xfrm>
          <a:off x="7208520" y="480060"/>
          <a:ext cx="2491740" cy="80772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fld id="{D6681CF5-B274-4705-A9C5-76E3298D8FCB}" type="TxLink">
            <a:rPr lang="en-US" sz="2000" b="1" i="0" u="none" strike="noStrike">
              <a:solidFill>
                <a:schemeClr val="bg1"/>
              </a:solidFill>
              <a:latin typeface="Calibri"/>
              <a:ea typeface="Calibri"/>
              <a:cs typeface="Calibri"/>
            </a:rPr>
            <a:pPr algn="l"/>
            <a:t>₹ 542 Cr</a:t>
          </a:fld>
          <a:endParaRPr lang="en-IN" sz="2000" b="1">
            <a:solidFill>
              <a:schemeClr val="bg1"/>
            </a:solidFill>
          </a:endParaRPr>
        </a:p>
      </xdr:txBody>
    </xdr:sp>
    <xdr:clientData/>
  </xdr:twoCellAnchor>
  <xdr:twoCellAnchor editAs="oneCell">
    <xdr:from>
      <xdr:col>0</xdr:col>
      <xdr:colOff>99061</xdr:colOff>
      <xdr:row>38</xdr:row>
      <xdr:rowOff>7620</xdr:rowOff>
    </xdr:from>
    <xdr:to>
      <xdr:col>1</xdr:col>
      <xdr:colOff>80011</xdr:colOff>
      <xdr:row>49</xdr:row>
      <xdr:rowOff>83820</xdr:rowOff>
    </xdr:to>
    <xdr:pic>
      <xdr:nvPicPr>
        <xdr:cNvPr id="13" name="Picture 12">
          <a:extLst>
            <a:ext uri="{FF2B5EF4-FFF2-40B4-BE49-F238E27FC236}">
              <a16:creationId xmlns:a16="http://schemas.microsoft.com/office/drawing/2014/main" id="{35213726-11EC-EB37-121F-CC70FE86C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1" y="7132320"/>
          <a:ext cx="1565910" cy="2087880"/>
        </a:xfrm>
        <a:prstGeom prst="rect">
          <a:avLst/>
        </a:prstGeom>
        <a:ln>
          <a:solidFill>
            <a:schemeClr val="bg2">
              <a:lumMod val="50000"/>
              <a:alpha val="95000"/>
            </a:schemeClr>
          </a:solidFill>
        </a:ln>
      </xdr:spPr>
    </xdr:pic>
    <xdr:clientData/>
  </xdr:twoCellAnchor>
  <xdr:twoCellAnchor editAs="oneCell">
    <xdr:from>
      <xdr:col>1</xdr:col>
      <xdr:colOff>198121</xdr:colOff>
      <xdr:row>38</xdr:row>
      <xdr:rowOff>0</xdr:rowOff>
    </xdr:from>
    <xdr:to>
      <xdr:col>2</xdr:col>
      <xdr:colOff>855727</xdr:colOff>
      <xdr:row>49</xdr:row>
      <xdr:rowOff>91440</xdr:rowOff>
    </xdr:to>
    <xdr:pic>
      <xdr:nvPicPr>
        <xdr:cNvPr id="15" name="Picture 14">
          <a:extLst>
            <a:ext uri="{FF2B5EF4-FFF2-40B4-BE49-F238E27FC236}">
              <a16:creationId xmlns:a16="http://schemas.microsoft.com/office/drawing/2014/main" id="{942EFA2A-7BBA-9248-5B6D-537D871594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83081" y="7124700"/>
          <a:ext cx="1419606" cy="2103120"/>
        </a:xfrm>
        <a:prstGeom prst="rect">
          <a:avLst/>
        </a:prstGeom>
        <a:ln>
          <a:solidFill>
            <a:schemeClr val="bg2">
              <a:lumMod val="50000"/>
              <a:alpha val="95000"/>
            </a:schemeClr>
          </a:solidFill>
        </a:ln>
      </xdr:spPr>
    </xdr:pic>
    <xdr:clientData/>
  </xdr:twoCellAnchor>
  <xdr:twoCellAnchor editAs="oneCell">
    <xdr:from>
      <xdr:col>2</xdr:col>
      <xdr:colOff>975364</xdr:colOff>
      <xdr:row>38</xdr:row>
      <xdr:rowOff>0</xdr:rowOff>
    </xdr:from>
    <xdr:to>
      <xdr:col>4</xdr:col>
      <xdr:colOff>232043</xdr:colOff>
      <xdr:row>49</xdr:row>
      <xdr:rowOff>106680</xdr:rowOff>
    </xdr:to>
    <xdr:pic>
      <xdr:nvPicPr>
        <xdr:cNvPr id="17" name="Picture 16">
          <a:extLst>
            <a:ext uri="{FF2B5EF4-FFF2-40B4-BE49-F238E27FC236}">
              <a16:creationId xmlns:a16="http://schemas.microsoft.com/office/drawing/2014/main" id="{1E536560-955F-D5F8-1067-CC1B60B2C5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22324" y="7124700"/>
          <a:ext cx="1367419" cy="2118360"/>
        </a:xfrm>
        <a:prstGeom prst="rect">
          <a:avLst/>
        </a:prstGeom>
        <a:ln>
          <a:solidFill>
            <a:schemeClr val="bg2">
              <a:lumMod val="50000"/>
              <a:alpha val="95000"/>
            </a:schemeClr>
          </a:solidFill>
        </a:ln>
      </xdr:spPr>
    </xdr:pic>
    <xdr:clientData/>
  </xdr:twoCellAnchor>
  <xdr:twoCellAnchor editAs="oneCell">
    <xdr:from>
      <xdr:col>4</xdr:col>
      <xdr:colOff>358139</xdr:colOff>
      <xdr:row>38</xdr:row>
      <xdr:rowOff>1</xdr:rowOff>
    </xdr:from>
    <xdr:to>
      <xdr:col>5</xdr:col>
      <xdr:colOff>293418</xdr:colOff>
      <xdr:row>49</xdr:row>
      <xdr:rowOff>99060</xdr:rowOff>
    </xdr:to>
    <xdr:pic>
      <xdr:nvPicPr>
        <xdr:cNvPr id="19" name="Picture 18">
          <a:extLst>
            <a:ext uri="{FF2B5EF4-FFF2-40B4-BE49-F238E27FC236}">
              <a16:creationId xmlns:a16="http://schemas.microsoft.com/office/drawing/2014/main" id="{EF784A2C-7565-FEFD-73D8-FD2269365B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15839" y="7124701"/>
          <a:ext cx="1543099" cy="2110739"/>
        </a:xfrm>
        <a:prstGeom prst="rect">
          <a:avLst/>
        </a:prstGeom>
        <a:ln>
          <a:solidFill>
            <a:schemeClr val="bg2">
              <a:lumMod val="50000"/>
              <a:alpha val="95000"/>
            </a:schemeClr>
          </a:solidFill>
        </a:ln>
      </xdr:spPr>
    </xdr:pic>
    <xdr:clientData/>
  </xdr:twoCellAnchor>
  <xdr:twoCellAnchor editAs="oneCell">
    <xdr:from>
      <xdr:col>5</xdr:col>
      <xdr:colOff>403860</xdr:colOff>
      <xdr:row>37</xdr:row>
      <xdr:rowOff>175261</xdr:rowOff>
    </xdr:from>
    <xdr:to>
      <xdr:col>6</xdr:col>
      <xdr:colOff>1181099</xdr:colOff>
      <xdr:row>49</xdr:row>
      <xdr:rowOff>106680</xdr:rowOff>
    </xdr:to>
    <xdr:pic>
      <xdr:nvPicPr>
        <xdr:cNvPr id="21" name="Picture 20">
          <a:extLst>
            <a:ext uri="{FF2B5EF4-FFF2-40B4-BE49-F238E27FC236}">
              <a16:creationId xmlns:a16="http://schemas.microsoft.com/office/drawing/2014/main" id="{E37F3E3B-4AD0-AF76-00A6-0A3ECC38F48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69380" y="7117081"/>
          <a:ext cx="1417319" cy="2125979"/>
        </a:xfrm>
        <a:prstGeom prst="rect">
          <a:avLst/>
        </a:prstGeom>
        <a:ln>
          <a:solidFill>
            <a:schemeClr val="bg2">
              <a:lumMod val="50000"/>
              <a:alpha val="95000"/>
            </a:schemeClr>
          </a:solidFill>
        </a:ln>
      </xdr:spPr>
    </xdr:pic>
    <xdr:clientData/>
  </xdr:twoCellAnchor>
  <xdr:twoCellAnchor editAs="oneCell">
    <xdr:from>
      <xdr:col>6</xdr:col>
      <xdr:colOff>1303020</xdr:colOff>
      <xdr:row>37</xdr:row>
      <xdr:rowOff>160020</xdr:rowOff>
    </xdr:from>
    <xdr:to>
      <xdr:col>8</xdr:col>
      <xdr:colOff>594360</xdr:colOff>
      <xdr:row>49</xdr:row>
      <xdr:rowOff>91440</xdr:rowOff>
    </xdr:to>
    <xdr:pic>
      <xdr:nvPicPr>
        <xdr:cNvPr id="23" name="Picture 22">
          <a:extLst>
            <a:ext uri="{FF2B5EF4-FFF2-40B4-BE49-F238E27FC236}">
              <a16:creationId xmlns:a16="http://schemas.microsoft.com/office/drawing/2014/main" id="{EC8CC7A7-FC2A-B840-C1F1-9E97FEF6933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008620" y="7101840"/>
          <a:ext cx="1417320" cy="2125980"/>
        </a:xfrm>
        <a:prstGeom prst="rect">
          <a:avLst/>
        </a:prstGeom>
        <a:ln>
          <a:solidFill>
            <a:schemeClr val="bg2">
              <a:lumMod val="50000"/>
              <a:alpha val="95000"/>
            </a:schemeClr>
          </a:solidFill>
        </a:ln>
      </xdr:spPr>
    </xdr:pic>
    <xdr:clientData/>
  </xdr:twoCellAnchor>
  <xdr:twoCellAnchor editAs="oneCell">
    <xdr:from>
      <xdr:col>0</xdr:col>
      <xdr:colOff>182880</xdr:colOff>
      <xdr:row>22</xdr:row>
      <xdr:rowOff>160020</xdr:rowOff>
    </xdr:from>
    <xdr:to>
      <xdr:col>3</xdr:col>
      <xdr:colOff>175260</xdr:colOff>
      <xdr:row>36</xdr:row>
      <xdr:rowOff>45719</xdr:rowOff>
    </xdr:to>
    <mc:AlternateContent xmlns:mc="http://schemas.openxmlformats.org/markup-compatibility/2006" xmlns:a14="http://schemas.microsoft.com/office/drawing/2010/main">
      <mc:Choice Requires="a14">
        <xdr:graphicFrame macro="">
          <xdr:nvGraphicFramePr>
            <xdr:cNvPr id="20" name="Language">
              <a:extLst>
                <a:ext uri="{FF2B5EF4-FFF2-40B4-BE49-F238E27FC236}">
                  <a16:creationId xmlns:a16="http://schemas.microsoft.com/office/drawing/2014/main" id="{12BCF43E-2028-4AB0-99E5-F85202ECF80C}"/>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182880" y="4358640"/>
              <a:ext cx="3840480" cy="2446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1181100</xdr:colOff>
      <xdr:row>23</xdr:row>
      <xdr:rowOff>1</xdr:rowOff>
    </xdr:from>
    <xdr:to>
      <xdr:col>8</xdr:col>
      <xdr:colOff>403860</xdr:colOff>
      <xdr:row>36</xdr:row>
      <xdr:rowOff>15241</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FC2E98D2-4835-4D1F-94D5-29F9A98D40E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38800" y="4381501"/>
              <a:ext cx="3596640" cy="239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0</xdr:rowOff>
    </xdr:from>
    <xdr:to>
      <xdr:col>9</xdr:col>
      <xdr:colOff>236220</xdr:colOff>
      <xdr:row>22</xdr:row>
      <xdr:rowOff>30480</xdr:rowOff>
    </xdr:to>
    <xdr:graphicFrame macro="">
      <xdr:nvGraphicFramePr>
        <xdr:cNvPr id="24" name="Chart 23">
          <a:extLst>
            <a:ext uri="{FF2B5EF4-FFF2-40B4-BE49-F238E27FC236}">
              <a16:creationId xmlns:a16="http://schemas.microsoft.com/office/drawing/2014/main" id="{0098C7DF-136B-4EB5-9A20-AF15669D6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xdr:row>
      <xdr:rowOff>175260</xdr:rowOff>
    </xdr:from>
    <xdr:to>
      <xdr:col>2</xdr:col>
      <xdr:colOff>7620</xdr:colOff>
      <xdr:row>6</xdr:row>
      <xdr:rowOff>0</xdr:rowOff>
    </xdr:to>
    <xdr:sp macro="" textlink="KPI!A4">
      <xdr:nvSpPr>
        <xdr:cNvPr id="25" name="Rectangle 24">
          <a:extLst>
            <a:ext uri="{FF2B5EF4-FFF2-40B4-BE49-F238E27FC236}">
              <a16:creationId xmlns:a16="http://schemas.microsoft.com/office/drawing/2014/main" id="{E0592734-EFC0-D496-1C70-5413EE52AB94}"/>
            </a:ext>
          </a:extLst>
        </xdr:cNvPr>
        <xdr:cNvSpPr/>
      </xdr:nvSpPr>
      <xdr:spPr>
        <a:xfrm>
          <a:off x="0" y="472440"/>
          <a:ext cx="2354580" cy="800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0"/>
        <a:lstStyle/>
        <a:p>
          <a:pPr algn="ctr"/>
          <a:r>
            <a:rPr lang="en-US" sz="2000" b="1" i="0" u="none" strike="noStrike">
              <a:solidFill>
                <a:schemeClr val="bg1"/>
              </a:solidFill>
              <a:latin typeface="Calibri"/>
              <a:ea typeface="Calibri"/>
              <a:cs typeface="Calibri"/>
            </a:rPr>
            <a:t>Total Movies</a:t>
          </a:r>
        </a:p>
        <a:p>
          <a:pPr algn="ctr"/>
          <a:fld id="{CBB07119-BF45-4889-86CE-A36F32398CD0}" type="TxLink">
            <a:rPr lang="en-US" sz="2000" b="1" i="0" u="none" strike="noStrike">
              <a:solidFill>
                <a:schemeClr val="bg1"/>
              </a:solidFill>
              <a:latin typeface="Calibri"/>
              <a:ea typeface="Calibri"/>
              <a:cs typeface="Calibri"/>
            </a:rPr>
            <a:pPr algn="ctr"/>
            <a:t>8</a:t>
          </a:fld>
          <a:endParaRPr lang="en-IN" sz="2000" b="1">
            <a:solidFill>
              <a:schemeClr val="bg1"/>
            </a:solidFill>
          </a:endParaRPr>
        </a:p>
      </xdr:txBody>
    </xdr:sp>
    <xdr:clientData/>
  </xdr:twoCellAnchor>
  <xdr:twoCellAnchor>
    <xdr:from>
      <xdr:col>2</xdr:col>
      <xdr:colOff>152400</xdr:colOff>
      <xdr:row>2</xdr:row>
      <xdr:rowOff>68580</xdr:rowOff>
    </xdr:from>
    <xdr:to>
      <xdr:col>3</xdr:col>
      <xdr:colOff>525780</xdr:colOff>
      <xdr:row>3</xdr:row>
      <xdr:rowOff>175260</xdr:rowOff>
    </xdr:to>
    <xdr:sp macro="" textlink="">
      <xdr:nvSpPr>
        <xdr:cNvPr id="28" name="Rectangle 27">
          <a:extLst>
            <a:ext uri="{FF2B5EF4-FFF2-40B4-BE49-F238E27FC236}">
              <a16:creationId xmlns:a16="http://schemas.microsoft.com/office/drawing/2014/main" id="{7D2EE778-9846-5470-C12C-41A7E961CFC9}"/>
            </a:ext>
          </a:extLst>
        </xdr:cNvPr>
        <xdr:cNvSpPr/>
      </xdr:nvSpPr>
      <xdr:spPr>
        <a:xfrm>
          <a:off x="2499360" y="563880"/>
          <a:ext cx="1874520" cy="304800"/>
        </a:xfrm>
        <a:prstGeom prst="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Total Collection</a:t>
          </a:r>
        </a:p>
      </xdr:txBody>
    </xdr:sp>
    <xdr:clientData/>
  </xdr:twoCellAnchor>
  <xdr:twoCellAnchor>
    <xdr:from>
      <xdr:col>4</xdr:col>
      <xdr:colOff>53340</xdr:colOff>
      <xdr:row>2</xdr:row>
      <xdr:rowOff>99060</xdr:rowOff>
    </xdr:from>
    <xdr:to>
      <xdr:col>6</xdr:col>
      <xdr:colOff>480060</xdr:colOff>
      <xdr:row>4</xdr:row>
      <xdr:rowOff>60960</xdr:rowOff>
    </xdr:to>
    <xdr:sp macro="" textlink="">
      <xdr:nvSpPr>
        <xdr:cNvPr id="29" name="Rectangle 28">
          <a:extLst>
            <a:ext uri="{FF2B5EF4-FFF2-40B4-BE49-F238E27FC236}">
              <a16:creationId xmlns:a16="http://schemas.microsoft.com/office/drawing/2014/main" id="{3F34530B-39D8-F1D9-52C0-AC3FAAE4A642}"/>
            </a:ext>
          </a:extLst>
        </xdr:cNvPr>
        <xdr:cNvSpPr/>
      </xdr:nvSpPr>
      <xdr:spPr>
        <a:xfrm>
          <a:off x="4511040" y="594360"/>
          <a:ext cx="2674620" cy="358140"/>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000" b="1"/>
            <a:t>Highest Grossing Movie</a:t>
          </a:r>
        </a:p>
      </xdr:txBody>
    </xdr:sp>
    <xdr:clientData/>
  </xdr:twoCellAnchor>
  <xdr:twoCellAnchor>
    <xdr:from>
      <xdr:col>6</xdr:col>
      <xdr:colOff>640080</xdr:colOff>
      <xdr:row>2</xdr:row>
      <xdr:rowOff>53340</xdr:rowOff>
    </xdr:from>
    <xdr:to>
      <xdr:col>9</xdr:col>
      <xdr:colOff>99060</xdr:colOff>
      <xdr:row>4</xdr:row>
      <xdr:rowOff>30480</xdr:rowOff>
    </xdr:to>
    <xdr:sp macro="" textlink="">
      <xdr:nvSpPr>
        <xdr:cNvPr id="30" name="Rectangle 29">
          <a:extLst>
            <a:ext uri="{FF2B5EF4-FFF2-40B4-BE49-F238E27FC236}">
              <a16:creationId xmlns:a16="http://schemas.microsoft.com/office/drawing/2014/main" id="{E33C4AF9-6F5F-9B34-A339-051C4D523F0A}"/>
            </a:ext>
          </a:extLst>
        </xdr:cNvPr>
        <xdr:cNvSpPr/>
      </xdr:nvSpPr>
      <xdr:spPr>
        <a:xfrm>
          <a:off x="7345680" y="548640"/>
          <a:ext cx="2194560" cy="373380"/>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Average Collection</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sankar" refreshedDate="46127.501517824072" createdVersion="8" refreshedVersion="8" minRefreshableVersion="3" recordCount="50" xr:uid="{68DCF467-1C6F-4820-9548-803FAC4787AA}">
  <cacheSource type="worksheet">
    <worksheetSource name="Table1"/>
  </cacheSource>
  <cacheFields count="6">
    <cacheField name="Movie Name" numFmtId="0">
      <sharedItems count="50">
        <s v="Dangal"/>
        <s v="Baahubali 2: The Conclusion"/>
        <s v="Pushpa2: The Rule"/>
        <s v="Dhurandhar2: The Revenge"/>
        <s v="Dhurandar"/>
        <s v="RRR"/>
        <s v="KGF Chapter-2"/>
        <s v="Jawan"/>
        <s v="Kalki 2898Ad"/>
        <s v="Pathaan"/>
        <s v="Animal"/>
        <s v="Bhajrangi Bhaijaan"/>
        <s v="Stree-2"/>
        <s v="Kantara Chapter-1"/>
        <s v="Secret Superstar"/>
        <s v="Chhaava"/>
        <s v="PK"/>
        <s v="Robo 2.0"/>
        <s v="Gadar-2"/>
        <s v="Salaar: Cease Fire - Part 1"/>
        <s v="Sultan"/>
        <s v="Jailer"/>
        <s v="Baahubali: The Beginning"/>
        <s v="Leo"/>
        <s v="Sanju"/>
        <s v="Saiyaara"/>
        <s v="Tiger Zinda Hai"/>
        <s v="Padmaavat"/>
        <s v="Dhoom 3"/>
        <s v="Coolie"/>
        <s v="Ponniyan Selvan-1"/>
        <s v="Tiger-3"/>
        <s v="War Part-1"/>
        <s v="Dunki"/>
        <s v="The Greatest Of All Time"/>
        <s v="Saaho"/>
        <s v="Brahmastra Part-1 Shiva"/>
        <s v="Devara Part-1"/>
        <s v="Vikram"/>
        <s v="Bhool Bhulaiyaa-3"/>
        <s v="Andhaadhun"/>
        <s v="Kantara"/>
        <s v="Adipurush"/>
        <s v="Happy New Year"/>
        <s v="3 Idiots"/>
        <s v="Chennai Express"/>
        <s v="Singham Again"/>
        <s v="Simmba"/>
        <s v="Kick"/>
        <s v="Krish 3"/>
      </sharedItems>
    </cacheField>
    <cacheField name="Year" numFmtId="0">
      <sharedItems containsSemiMixedTypes="0" containsString="0" containsNumber="1" containsInteger="1" minValue="2009" maxValue="2026" count="13">
        <n v="2016"/>
        <n v="2017"/>
        <n v="2024"/>
        <n v="2026"/>
        <n v="2025"/>
        <n v="2022"/>
        <n v="2023"/>
        <n v="2015"/>
        <n v="2014"/>
        <n v="2018"/>
        <n v="2013"/>
        <n v="2019"/>
        <n v="2009"/>
      </sharedItems>
    </cacheField>
    <cacheField name="Collection CR" numFmtId="164">
      <sharedItems containsSemiMixedTypes="0" containsString="0" containsNumber="1" containsInteger="1" minValue="376" maxValue="1958" count="50">
        <n v="1958"/>
        <n v="1810"/>
        <n v="1775"/>
        <n v="1720"/>
        <n v="1315"/>
        <n v="1300"/>
        <n v="1233"/>
        <n v="1160"/>
        <n v="1062"/>
        <n v="1051"/>
        <n v="913"/>
        <n v="870"/>
        <n v="857"/>
        <n v="851"/>
        <n v="831"/>
        <n v="808"/>
        <n v="741"/>
        <n v="709"/>
        <n v="686"/>
        <n v="637"/>
        <n v="615"/>
        <n v="607"/>
        <n v="605"/>
        <n v="601"/>
        <n v="580"/>
        <n v="564"/>
        <n v="562"/>
        <n v="560"/>
        <n v="545"/>
        <n v="519"/>
        <n v="488"/>
        <n v="465"/>
        <n v="460"/>
        <n v="455"/>
        <n v="454"/>
        <n v="451"/>
        <n v="432"/>
        <n v="428"/>
        <n v="418"/>
        <n v="417"/>
        <n v="410"/>
        <n v="407"/>
        <n v="401"/>
        <n v="397"/>
        <n v="396"/>
        <n v="392"/>
        <n v="386"/>
        <n v="385"/>
        <n v="378"/>
        <n v="376"/>
      </sharedItems>
    </cacheField>
    <cacheField name="Language" numFmtId="0">
      <sharedItems count="4">
        <s v="    Hindi"/>
        <s v="    Telugu"/>
        <s v="    Kannada"/>
        <s v="    Tamil"/>
      </sharedItems>
    </cacheField>
    <cacheField name="      Rating" numFmtId="0">
      <sharedItems containsSemiMixedTypes="0" containsString="0" containsNumber="1" minValue="5.8" maxValue="9.9"/>
    </cacheField>
    <cacheField name="Hero" numFmtId="0">
      <sharedItems/>
    </cacheField>
  </cacheFields>
  <extLst>
    <ext xmlns:x14="http://schemas.microsoft.com/office/spreadsheetml/2009/9/main" uri="{725AE2AE-9491-48be-B2B4-4EB974FC3084}">
      <x14:pivotCacheDefinition pivotCacheId="1058828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9.1999999999999993"/>
    <s v="Amir Khan"/>
  </r>
  <r>
    <x v="1"/>
    <x v="1"/>
    <x v="1"/>
    <x v="1"/>
    <n v="9.1999999999999993"/>
    <s v="Prabhas Raju"/>
  </r>
  <r>
    <x v="2"/>
    <x v="2"/>
    <x v="2"/>
    <x v="1"/>
    <n v="8.5"/>
    <s v="Allu Arjun"/>
  </r>
  <r>
    <x v="3"/>
    <x v="3"/>
    <x v="3"/>
    <x v="0"/>
    <n v="9.4"/>
    <s v="Ranveer Singh"/>
  </r>
  <r>
    <x v="4"/>
    <x v="4"/>
    <x v="4"/>
    <x v="0"/>
    <n v="9.3000000000000007"/>
    <s v="Ranveer Singh"/>
  </r>
  <r>
    <x v="5"/>
    <x v="5"/>
    <x v="5"/>
    <x v="1"/>
    <n v="9.1"/>
    <s v="Ram Charan &amp; Jr. NTR"/>
  </r>
  <r>
    <x v="6"/>
    <x v="5"/>
    <x v="6"/>
    <x v="2"/>
    <n v="9.3000000000000007"/>
    <s v="Yash"/>
  </r>
  <r>
    <x v="7"/>
    <x v="6"/>
    <x v="7"/>
    <x v="0"/>
    <n v="8.6"/>
    <s v="Shah Rukh Khan"/>
  </r>
  <r>
    <x v="8"/>
    <x v="2"/>
    <x v="8"/>
    <x v="1"/>
    <n v="8.6"/>
    <s v="Prabhas Raju"/>
  </r>
  <r>
    <x v="9"/>
    <x v="6"/>
    <x v="9"/>
    <x v="0"/>
    <n v="8.1"/>
    <s v="Shah Rukh Khan"/>
  </r>
  <r>
    <x v="10"/>
    <x v="6"/>
    <x v="10"/>
    <x v="0"/>
    <n v="8.1999999999999993"/>
    <s v="Ranbir Kapoor"/>
  </r>
  <r>
    <x v="11"/>
    <x v="7"/>
    <x v="11"/>
    <x v="0"/>
    <n v="8.1"/>
    <s v="Salman Khan"/>
  </r>
  <r>
    <x v="12"/>
    <x v="2"/>
    <x v="12"/>
    <x v="0"/>
    <n v="8.9"/>
    <s v="Shradda Kapoor"/>
  </r>
  <r>
    <x v="13"/>
    <x v="4"/>
    <x v="13"/>
    <x v="2"/>
    <n v="9.3000000000000007"/>
    <s v="Rishab Shetty"/>
  </r>
  <r>
    <x v="14"/>
    <x v="1"/>
    <x v="14"/>
    <x v="0"/>
    <n v="8.6999999999999993"/>
    <s v="Amir Khan"/>
  </r>
  <r>
    <x v="15"/>
    <x v="4"/>
    <x v="15"/>
    <x v="0"/>
    <n v="9.1999999999999993"/>
    <s v="Vicky Kaushal"/>
  </r>
  <r>
    <x v="16"/>
    <x v="8"/>
    <x v="16"/>
    <x v="0"/>
    <n v="8.1"/>
    <s v="Amir Khan"/>
  </r>
  <r>
    <x v="17"/>
    <x v="9"/>
    <x v="17"/>
    <x v="3"/>
    <n v="8.1999999999999993"/>
    <s v="Rajinikanth"/>
  </r>
  <r>
    <x v="18"/>
    <x v="6"/>
    <x v="18"/>
    <x v="0"/>
    <n v="8.5"/>
    <s v="Sunny Deol"/>
  </r>
  <r>
    <x v="19"/>
    <x v="6"/>
    <x v="19"/>
    <x v="1"/>
    <n v="8.5"/>
    <s v="Prabhas Raju"/>
  </r>
  <r>
    <x v="20"/>
    <x v="0"/>
    <x v="20"/>
    <x v="0"/>
    <n v="8.6"/>
    <s v="Salman Khan"/>
  </r>
  <r>
    <x v="21"/>
    <x v="6"/>
    <x v="21"/>
    <x v="3"/>
    <n v="9"/>
    <s v="Rajinikanth"/>
  </r>
  <r>
    <x v="22"/>
    <x v="7"/>
    <x v="22"/>
    <x v="1"/>
    <n v="8.8000000000000007"/>
    <s v="Prabhas Raju"/>
  </r>
  <r>
    <x v="23"/>
    <x v="6"/>
    <x v="23"/>
    <x v="3"/>
    <n v="8.4"/>
    <s v="Thalapathy Vijay"/>
  </r>
  <r>
    <x v="24"/>
    <x v="9"/>
    <x v="24"/>
    <x v="0"/>
    <n v="8.9"/>
    <s v="Ranbir Kapoor"/>
  </r>
  <r>
    <x v="25"/>
    <x v="4"/>
    <x v="25"/>
    <x v="0"/>
    <n v="8.1"/>
    <s v="Ahaan Panday"/>
  </r>
  <r>
    <x v="26"/>
    <x v="1"/>
    <x v="26"/>
    <x v="0"/>
    <n v="8.6"/>
    <s v="Salman Khan"/>
  </r>
  <r>
    <x v="27"/>
    <x v="9"/>
    <x v="27"/>
    <x v="0"/>
    <n v="8.6"/>
    <s v="Shahid Kapoor"/>
  </r>
  <r>
    <x v="28"/>
    <x v="10"/>
    <x v="28"/>
    <x v="0"/>
    <n v="7.5"/>
    <s v="Amir Khan"/>
  </r>
  <r>
    <x v="29"/>
    <x v="4"/>
    <x v="29"/>
    <x v="3"/>
    <n v="7.5"/>
    <s v="Rajinikanth"/>
  </r>
  <r>
    <x v="30"/>
    <x v="5"/>
    <x v="30"/>
    <x v="3"/>
    <n v="8.5"/>
    <s v="Jayam Ravi"/>
  </r>
  <r>
    <x v="31"/>
    <x v="6"/>
    <x v="31"/>
    <x v="0"/>
    <n v="7.5"/>
    <s v="Salman Khan"/>
  </r>
  <r>
    <x v="32"/>
    <x v="11"/>
    <x v="32"/>
    <x v="0"/>
    <n v="7.7"/>
    <s v="Hrithik Roshan &amp; Tiger"/>
  </r>
  <r>
    <x v="33"/>
    <x v="6"/>
    <x v="33"/>
    <x v="0"/>
    <n v="7.5"/>
    <s v="Shah Rukh Khan"/>
  </r>
  <r>
    <x v="34"/>
    <x v="2"/>
    <x v="34"/>
    <x v="3"/>
    <n v="7.9"/>
    <s v="Thalapathy Vijay"/>
  </r>
  <r>
    <x v="35"/>
    <x v="11"/>
    <x v="35"/>
    <x v="1"/>
    <n v="7.2"/>
    <s v="Prabhas Raju"/>
  </r>
  <r>
    <x v="36"/>
    <x v="5"/>
    <x v="36"/>
    <x v="0"/>
    <n v="7.7"/>
    <s v="Ranbir Kapoor"/>
  </r>
  <r>
    <x v="37"/>
    <x v="2"/>
    <x v="37"/>
    <x v="1"/>
    <n v="8.4"/>
    <s v="Jr.NTR"/>
  </r>
  <r>
    <x v="38"/>
    <x v="5"/>
    <x v="38"/>
    <x v="3"/>
    <n v="9.5"/>
    <s v="Kamal Hassan"/>
  </r>
  <r>
    <x v="39"/>
    <x v="2"/>
    <x v="39"/>
    <x v="0"/>
    <n v="5.8"/>
    <s v="Kartik Aryan"/>
  </r>
  <r>
    <x v="40"/>
    <x v="9"/>
    <x v="40"/>
    <x v="0"/>
    <n v="8.1999999999999993"/>
    <s v="Ayushmann Khurrana"/>
  </r>
  <r>
    <x v="41"/>
    <x v="5"/>
    <x v="41"/>
    <x v="2"/>
    <n v="9.9"/>
    <s v="Rishab Shetty"/>
  </r>
  <r>
    <x v="42"/>
    <x v="6"/>
    <x v="42"/>
    <x v="0"/>
    <n v="6.2"/>
    <s v="Prabhas Raju"/>
  </r>
  <r>
    <x v="43"/>
    <x v="8"/>
    <x v="43"/>
    <x v="0"/>
    <n v="6.2"/>
    <s v="Shah Rukh Khan"/>
  </r>
  <r>
    <x v="44"/>
    <x v="12"/>
    <x v="44"/>
    <x v="0"/>
    <n v="8.1"/>
    <s v="Amir Khan"/>
  </r>
  <r>
    <x v="45"/>
    <x v="10"/>
    <x v="45"/>
    <x v="0"/>
    <n v="9.1"/>
    <s v="Shah Rukh Khan"/>
  </r>
  <r>
    <x v="46"/>
    <x v="2"/>
    <x v="46"/>
    <x v="0"/>
    <n v="6.8"/>
    <s v="Ajay Devgan"/>
  </r>
  <r>
    <x v="47"/>
    <x v="9"/>
    <x v="47"/>
    <x v="0"/>
    <n v="8.5"/>
    <s v="Ranveer Singh"/>
  </r>
  <r>
    <x v="48"/>
    <x v="8"/>
    <x v="48"/>
    <x v="0"/>
    <n v="7.7"/>
    <s v="Salman Khan"/>
  </r>
  <r>
    <x v="49"/>
    <x v="10"/>
    <x v="49"/>
    <x v="0"/>
    <n v="7.2"/>
    <s v="Hrithik Rosh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591BD-F169-4D6E-9B96-6A1CFECFD9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vie Name">
  <location ref="A3:B11" firstHeaderRow="1" firstDataRow="1" firstDataCol="1"/>
  <pivotFields count="6">
    <pivotField axis="axisRow" showAll="0" measureFilter="1" sortType="descending">
      <items count="51">
        <item x="44"/>
        <item x="42"/>
        <item x="40"/>
        <item x="10"/>
        <item n="Baahubali 2" x="1"/>
        <item x="22"/>
        <item x="11"/>
        <item x="39"/>
        <item x="36"/>
        <item x="45"/>
        <item x="15"/>
        <item x="29"/>
        <item x="0"/>
        <item x="37"/>
        <item x="28"/>
        <item x="4"/>
        <item x="3"/>
        <item x="33"/>
        <item x="18"/>
        <item x="43"/>
        <item x="21"/>
        <item x="7"/>
        <item x="8"/>
        <item x="41"/>
        <item x="13"/>
        <item x="6"/>
        <item x="48"/>
        <item x="49"/>
        <item x="23"/>
        <item x="27"/>
        <item x="9"/>
        <item x="16"/>
        <item x="30"/>
        <item x="2"/>
        <item x="17"/>
        <item x="5"/>
        <item x="35"/>
        <item x="25"/>
        <item x="19"/>
        <item x="24"/>
        <item x="14"/>
        <item x="47"/>
        <item x="46"/>
        <item x="12"/>
        <item x="20"/>
        <item x="34"/>
        <item x="26"/>
        <item x="31"/>
        <item x="38"/>
        <item x="32"/>
        <item t="default"/>
      </items>
      <autoSortScope>
        <pivotArea dataOnly="0" outline="0" fieldPosition="0">
          <references count="1">
            <reference field="4294967294" count="1" selected="0">
              <x v="0"/>
            </reference>
          </references>
        </pivotArea>
      </autoSortScope>
    </pivotField>
    <pivotField showAll="0">
      <items count="14">
        <item x="12"/>
        <item x="10"/>
        <item x="8"/>
        <item x="7"/>
        <item x="0"/>
        <item x="1"/>
        <item x="9"/>
        <item x="11"/>
        <item x="5"/>
        <item x="6"/>
        <item x="2"/>
        <item x="4"/>
        <item x="3"/>
        <item t="default"/>
      </items>
    </pivotField>
    <pivotField dataField="1" numFmtId="164"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5">
        <item h="1" x="0"/>
        <item h="1" x="2"/>
        <item x="3"/>
        <item h="1" x="1"/>
        <item t="default"/>
      </items>
    </pivotField>
    <pivotField showAll="0"/>
    <pivotField showAll="0"/>
  </pivotFields>
  <rowFields count="1">
    <field x="0"/>
  </rowFields>
  <rowItems count="8">
    <i>
      <x v="34"/>
    </i>
    <i>
      <x v="20"/>
    </i>
    <i>
      <x v="28"/>
    </i>
    <i>
      <x v="11"/>
    </i>
    <i>
      <x v="32"/>
    </i>
    <i>
      <x v="45"/>
    </i>
    <i>
      <x v="48"/>
    </i>
    <i t="grand">
      <x/>
    </i>
  </rowItems>
  <colItems count="1">
    <i/>
  </colItems>
  <dataFields count="1">
    <dataField name="Sum of Collection CR" fld="2"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A05B1-2B34-412D-ACC9-9FD0711FB7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6">
    <pivotField dataField="1" showAll="0"/>
    <pivotField showAll="0">
      <items count="14">
        <item x="12"/>
        <item x="10"/>
        <item x="8"/>
        <item x="7"/>
        <item x="0"/>
        <item x="1"/>
        <item x="9"/>
        <item x="11"/>
        <item x="5"/>
        <item x="6"/>
        <item x="2"/>
        <item x="4"/>
        <item x="3"/>
        <item t="default"/>
      </items>
    </pivotField>
    <pivotField dataField="1" numFmtId="164" showAll="0"/>
    <pivotField showAll="0">
      <items count="5">
        <item h="1" x="0"/>
        <item h="1" x="2"/>
        <item x="3"/>
        <item h="1" x="1"/>
        <item t="default"/>
      </items>
    </pivotField>
    <pivotField dataField="1" showAll="0"/>
    <pivotField showAll="0"/>
  </pivotFields>
  <rowItems count="1">
    <i/>
  </rowItems>
  <colFields count="1">
    <field x="-2"/>
  </colFields>
  <colItems count="4">
    <i>
      <x/>
    </i>
    <i i="1">
      <x v="1"/>
    </i>
    <i i="2">
      <x v="2"/>
    </i>
    <i i="3">
      <x v="3"/>
    </i>
  </colItems>
  <dataFields count="4">
    <dataField name="Count of Movie Name" fld="0" subtotal="count" baseField="0" baseItem="0"/>
    <dataField name="Sum of Collection CR" fld="2" baseField="0" baseItem="1" numFmtId="165"/>
    <dataField name="Average of Collection CR2" fld="2" subtotal="average" baseField="0" baseItem="1" numFmtId="165"/>
    <dataField name="Average of Rating" fld="4" subtotal="average" baseField="0" baseItem="1" numFmtId="166"/>
  </dataFields>
  <formats count="2">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4E27A24F-B9F4-4107-B5A1-4E39393D850D}" sourceName="Language">
  <pivotTables>
    <pivotTable tabId="6" name="PivotTable4"/>
    <pivotTable tabId="5" name="PivotTable3"/>
  </pivotTables>
  <data>
    <tabular pivotCacheId="1058828511">
      <items count="4">
        <i x="0"/>
        <i x="2"/>
        <i x="3"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ABD9E40-9A41-4C89-84DA-3D4D63C3D342}" sourceName="Year">
  <pivotTables>
    <pivotTable tabId="6" name="PivotTable4"/>
    <pivotTable tabId="5" name="PivotTable3"/>
  </pivotTables>
  <data>
    <tabular pivotCacheId="1058828511">
      <items count="13">
        <i x="9" s="1"/>
        <i x="5" s="1"/>
        <i x="6" s="1"/>
        <i x="2" s="1"/>
        <i x="4" s="1"/>
        <i x="12" s="1" nd="1"/>
        <i x="10" s="1" nd="1"/>
        <i x="8" s="1" nd="1"/>
        <i x="7" s="1" nd="1"/>
        <i x="0" s="1" nd="1"/>
        <i x="1" s="1" nd="1"/>
        <i x="1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xr10:uid="{0C031745-789B-429C-9278-CCE92D68EBB3}" cache="Slicer_Language" caption="Language" style="SlicerStyleDark2" rowHeight="234950"/>
  <slicer name="Year" xr10:uid="{56E46B19-C97A-45FC-AD4D-4C2267F510EF}" cache="Slicer_Year" caption="Year"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D9DE0B-683C-4E07-AB9B-D03F730FFA59}" name="Table1" displayName="Table1" ref="A1:F51" totalsRowShown="0" headerRowDxfId="3">
  <autoFilter ref="A1:F51" xr:uid="{67D9DE0B-683C-4E07-AB9B-D03F730FFA59}"/>
  <sortState xmlns:xlrd2="http://schemas.microsoft.com/office/spreadsheetml/2017/richdata2" ref="A2:F50">
    <sortCondition descending="1" ref="C2:C50"/>
  </sortState>
  <tableColumns count="6">
    <tableColumn id="1" xr3:uid="{B5B98965-8094-4641-92CD-619582B3D4F9}" name="Movie Name"/>
    <tableColumn id="2" xr3:uid="{55450D38-F430-47B1-8579-22F34243F78C}" name="Year"/>
    <tableColumn id="3" xr3:uid="{1F2DD97A-ED8C-4AE1-BE81-5C115EBA9EDC}" name="Collection CR" dataDxfId="2" dataCellStyle="Currency"/>
    <tableColumn id="4" xr3:uid="{1B7EBB82-491B-49E0-AA1E-89802E2A1228}" name="Language"/>
    <tableColumn id="5" xr3:uid="{0D67E0BA-2460-4CDB-A314-CDE60BAB573A}" name="      Rating"/>
    <tableColumn id="6" xr3:uid="{E9322B20-7427-4B13-BCD8-03F20CAF76D3}" name="Her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73B3-73DF-452C-ADC4-75651B9A965D}">
  <dimension ref="A3:B11"/>
  <sheetViews>
    <sheetView workbookViewId="0">
      <selection activeCell="A5" sqref="A5"/>
    </sheetView>
  </sheetViews>
  <sheetFormatPr defaultRowHeight="14.4" x14ac:dyDescent="0.3"/>
  <cols>
    <col min="1" max="1" width="21" bestFit="1" customWidth="1"/>
    <col min="2" max="3" width="18.6640625" bestFit="1" customWidth="1"/>
    <col min="4" max="4" width="13.77734375" bestFit="1" customWidth="1"/>
  </cols>
  <sheetData>
    <row r="3" spans="1:2" x14ac:dyDescent="0.3">
      <c r="A3" s="13" t="s">
        <v>0</v>
      </c>
      <c r="B3" t="s">
        <v>88</v>
      </c>
    </row>
    <row r="4" spans="1:2" x14ac:dyDescent="0.3">
      <c r="A4" s="14" t="s">
        <v>23</v>
      </c>
      <c r="B4" s="11">
        <v>709</v>
      </c>
    </row>
    <row r="5" spans="1:2" x14ac:dyDescent="0.3">
      <c r="A5" s="14" t="s">
        <v>28</v>
      </c>
      <c r="B5" s="11">
        <v>607</v>
      </c>
    </row>
    <row r="6" spans="1:2" x14ac:dyDescent="0.3">
      <c r="A6" s="14" t="s">
        <v>30</v>
      </c>
      <c r="B6" s="11">
        <v>601</v>
      </c>
    </row>
    <row r="7" spans="1:2" x14ac:dyDescent="0.3">
      <c r="A7" s="14" t="s">
        <v>36</v>
      </c>
      <c r="B7" s="11">
        <v>519</v>
      </c>
    </row>
    <row r="8" spans="1:2" x14ac:dyDescent="0.3">
      <c r="A8" s="14" t="s">
        <v>37</v>
      </c>
      <c r="B8" s="11">
        <v>488</v>
      </c>
    </row>
    <row r="9" spans="1:2" x14ac:dyDescent="0.3">
      <c r="A9" s="14" t="s">
        <v>55</v>
      </c>
      <c r="B9" s="11">
        <v>454</v>
      </c>
    </row>
    <row r="10" spans="1:2" x14ac:dyDescent="0.3">
      <c r="A10" s="14" t="s">
        <v>44</v>
      </c>
      <c r="B10" s="11">
        <v>418</v>
      </c>
    </row>
    <row r="11" spans="1:2" x14ac:dyDescent="0.3">
      <c r="A11" s="14" t="s">
        <v>94</v>
      </c>
      <c r="B11" s="11">
        <v>3796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D28F-F2F8-494F-A578-CE52E1EC74AF}">
  <dimension ref="A3:D4"/>
  <sheetViews>
    <sheetView workbookViewId="0">
      <selection activeCell="B4" sqref="B4"/>
    </sheetView>
  </sheetViews>
  <sheetFormatPr defaultRowHeight="14.4" x14ac:dyDescent="0.3"/>
  <cols>
    <col min="1" max="1" width="19.77734375" bestFit="1" customWidth="1"/>
    <col min="2" max="2" width="18.6640625" bestFit="1" customWidth="1"/>
    <col min="3" max="3" width="22.88671875" bestFit="1" customWidth="1"/>
    <col min="4" max="4" width="16" bestFit="1" customWidth="1"/>
  </cols>
  <sheetData>
    <row r="3" spans="1:4" x14ac:dyDescent="0.3">
      <c r="A3" t="s">
        <v>89</v>
      </c>
      <c r="B3" t="s">
        <v>88</v>
      </c>
      <c r="C3" t="s">
        <v>93</v>
      </c>
      <c r="D3" t="s">
        <v>92</v>
      </c>
    </row>
    <row r="4" spans="1:4" x14ac:dyDescent="0.3">
      <c r="A4" s="17">
        <v>7</v>
      </c>
      <c r="B4" s="15">
        <v>3796</v>
      </c>
      <c r="C4" s="15">
        <v>542.28571428571433</v>
      </c>
      <c r="D4" s="12">
        <v>8.4285714285714288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94B63-53C4-4F43-9317-1F7310A4D5FE}">
  <dimension ref="A1:L51"/>
  <sheetViews>
    <sheetView workbookViewId="0">
      <selection activeCell="A4" sqref="A4"/>
    </sheetView>
  </sheetViews>
  <sheetFormatPr defaultColWidth="12.21875" defaultRowHeight="14.4" x14ac:dyDescent="0.3"/>
  <cols>
    <col min="1" max="1" width="24.33203125" customWidth="1"/>
    <col min="2" max="2" width="7" customWidth="1"/>
    <col min="3" max="3" width="15" customWidth="1"/>
    <col min="6" max="6" width="18.88671875" customWidth="1"/>
  </cols>
  <sheetData>
    <row r="1" spans="1:12" x14ac:dyDescent="0.3">
      <c r="A1" s="1" t="s">
        <v>0</v>
      </c>
      <c r="B1" s="1" t="s">
        <v>1</v>
      </c>
      <c r="C1" s="3" t="s">
        <v>82</v>
      </c>
      <c r="D1" s="1" t="s">
        <v>2</v>
      </c>
      <c r="E1" s="1" t="s">
        <v>5</v>
      </c>
      <c r="F1" s="1" t="s">
        <v>56</v>
      </c>
    </row>
    <row r="2" spans="1:12" x14ac:dyDescent="0.3">
      <c r="A2" t="s">
        <v>3</v>
      </c>
      <c r="B2">
        <v>2016</v>
      </c>
      <c r="C2" s="4">
        <v>1958</v>
      </c>
      <c r="D2" t="s">
        <v>4</v>
      </c>
      <c r="E2">
        <v>9.1999999999999993</v>
      </c>
      <c r="F2" t="s">
        <v>57</v>
      </c>
    </row>
    <row r="3" spans="1:12" x14ac:dyDescent="0.3">
      <c r="A3" t="s">
        <v>95</v>
      </c>
      <c r="B3">
        <v>2017</v>
      </c>
      <c r="C3" s="4">
        <v>1810</v>
      </c>
      <c r="D3" t="s">
        <v>6</v>
      </c>
      <c r="E3">
        <v>9.1999999999999993</v>
      </c>
      <c r="F3" t="s">
        <v>58</v>
      </c>
    </row>
    <row r="4" spans="1:12" x14ac:dyDescent="0.3">
      <c r="A4" t="s">
        <v>7</v>
      </c>
      <c r="B4">
        <v>2024</v>
      </c>
      <c r="C4" s="4">
        <v>1775</v>
      </c>
      <c r="D4" t="s">
        <v>6</v>
      </c>
      <c r="E4">
        <v>8.5</v>
      </c>
      <c r="F4" t="s">
        <v>59</v>
      </c>
    </row>
    <row r="5" spans="1:12" x14ac:dyDescent="0.3">
      <c r="A5" t="s">
        <v>8</v>
      </c>
      <c r="B5">
        <v>2026</v>
      </c>
      <c r="C5" s="4">
        <v>1720</v>
      </c>
      <c r="D5" t="s">
        <v>4</v>
      </c>
      <c r="E5">
        <v>9.4</v>
      </c>
      <c r="F5" t="s">
        <v>60</v>
      </c>
    </row>
    <row r="6" spans="1:12" x14ac:dyDescent="0.3">
      <c r="A6" t="s">
        <v>9</v>
      </c>
      <c r="B6">
        <v>2025</v>
      </c>
      <c r="C6" s="4">
        <v>1315</v>
      </c>
      <c r="D6" t="s">
        <v>4</v>
      </c>
      <c r="E6">
        <v>9.3000000000000007</v>
      </c>
      <c r="F6" t="s">
        <v>60</v>
      </c>
    </row>
    <row r="7" spans="1:12" x14ac:dyDescent="0.3">
      <c r="A7" t="s">
        <v>10</v>
      </c>
      <c r="B7">
        <v>2022</v>
      </c>
      <c r="C7" s="4">
        <v>1300</v>
      </c>
      <c r="D7" t="s">
        <v>6</v>
      </c>
      <c r="E7">
        <v>9.1</v>
      </c>
      <c r="F7" t="s">
        <v>61</v>
      </c>
    </row>
    <row r="8" spans="1:12" x14ac:dyDescent="0.3">
      <c r="A8" t="s">
        <v>11</v>
      </c>
      <c r="B8">
        <v>2022</v>
      </c>
      <c r="C8" s="4">
        <v>1233</v>
      </c>
      <c r="D8" t="s">
        <v>12</v>
      </c>
      <c r="E8">
        <v>9.3000000000000007</v>
      </c>
      <c r="F8" t="s">
        <v>62</v>
      </c>
    </row>
    <row r="9" spans="1:12" x14ac:dyDescent="0.3">
      <c r="A9" t="s">
        <v>13</v>
      </c>
      <c r="B9">
        <v>2023</v>
      </c>
      <c r="C9" s="4">
        <v>1160</v>
      </c>
      <c r="D9" t="s">
        <v>4</v>
      </c>
      <c r="E9">
        <v>8.6</v>
      </c>
      <c r="F9" t="s">
        <v>63</v>
      </c>
    </row>
    <row r="10" spans="1:12" x14ac:dyDescent="0.3">
      <c r="A10" t="s">
        <v>14</v>
      </c>
      <c r="B10">
        <v>2024</v>
      </c>
      <c r="C10" s="4">
        <v>1062</v>
      </c>
      <c r="D10" t="s">
        <v>6</v>
      </c>
      <c r="E10">
        <v>8.6</v>
      </c>
      <c r="F10" t="s">
        <v>58</v>
      </c>
    </row>
    <row r="11" spans="1:12" x14ac:dyDescent="0.3">
      <c r="A11" t="s">
        <v>15</v>
      </c>
      <c r="B11">
        <v>2023</v>
      </c>
      <c r="C11" s="4">
        <v>1051</v>
      </c>
      <c r="D11" t="s">
        <v>4</v>
      </c>
      <c r="E11">
        <v>8.1</v>
      </c>
      <c r="F11" t="s">
        <v>63</v>
      </c>
      <c r="L11">
        <f>ROWS(Table1[])</f>
        <v>50</v>
      </c>
    </row>
    <row r="12" spans="1:12" x14ac:dyDescent="0.3">
      <c r="A12" t="s">
        <v>16</v>
      </c>
      <c r="B12">
        <v>2023</v>
      </c>
      <c r="C12" s="4">
        <v>913</v>
      </c>
      <c r="D12" t="s">
        <v>4</v>
      </c>
      <c r="E12">
        <v>8.1999999999999993</v>
      </c>
      <c r="F12" t="s">
        <v>64</v>
      </c>
      <c r="L12" t="str">
        <f>IF(A2=" ", "Blank", "OK")</f>
        <v>OK</v>
      </c>
    </row>
    <row r="13" spans="1:12" x14ac:dyDescent="0.3">
      <c r="A13" t="s">
        <v>17</v>
      </c>
      <c r="B13">
        <v>2015</v>
      </c>
      <c r="C13" s="4">
        <v>870</v>
      </c>
      <c r="D13" t="s">
        <v>4</v>
      </c>
      <c r="E13">
        <v>8.1</v>
      </c>
      <c r="F13" t="s">
        <v>65</v>
      </c>
    </row>
    <row r="14" spans="1:12" x14ac:dyDescent="0.3">
      <c r="A14" t="s">
        <v>18</v>
      </c>
      <c r="B14">
        <v>2024</v>
      </c>
      <c r="C14" s="4">
        <v>857</v>
      </c>
      <c r="D14" t="s">
        <v>4</v>
      </c>
      <c r="E14">
        <v>8.9</v>
      </c>
      <c r="F14" t="s">
        <v>66</v>
      </c>
    </row>
    <row r="15" spans="1:12" x14ac:dyDescent="0.3">
      <c r="A15" t="s">
        <v>19</v>
      </c>
      <c r="B15">
        <v>2025</v>
      </c>
      <c r="C15" s="4">
        <v>851</v>
      </c>
      <c r="D15" t="s">
        <v>12</v>
      </c>
      <c r="E15">
        <v>9.3000000000000007</v>
      </c>
      <c r="F15" t="s">
        <v>79</v>
      </c>
    </row>
    <row r="16" spans="1:12" x14ac:dyDescent="0.3">
      <c r="A16" t="s">
        <v>20</v>
      </c>
      <c r="B16">
        <v>2017</v>
      </c>
      <c r="C16" s="4">
        <v>831</v>
      </c>
      <c r="D16" t="s">
        <v>4</v>
      </c>
      <c r="E16">
        <v>8.6999999999999993</v>
      </c>
      <c r="F16" t="s">
        <v>57</v>
      </c>
    </row>
    <row r="17" spans="1:6" x14ac:dyDescent="0.3">
      <c r="A17" t="s">
        <v>21</v>
      </c>
      <c r="B17">
        <v>2025</v>
      </c>
      <c r="C17" s="4">
        <v>808</v>
      </c>
      <c r="D17" t="s">
        <v>4</v>
      </c>
      <c r="E17">
        <v>9.1999999999999993</v>
      </c>
      <c r="F17" t="s">
        <v>67</v>
      </c>
    </row>
    <row r="18" spans="1:6" x14ac:dyDescent="0.3">
      <c r="A18" t="s">
        <v>22</v>
      </c>
      <c r="B18">
        <v>2014</v>
      </c>
      <c r="C18" s="4">
        <v>741</v>
      </c>
      <c r="D18" t="s">
        <v>4</v>
      </c>
      <c r="E18">
        <v>8.1</v>
      </c>
      <c r="F18" t="s">
        <v>57</v>
      </c>
    </row>
    <row r="19" spans="1:6" x14ac:dyDescent="0.3">
      <c r="A19" t="s">
        <v>23</v>
      </c>
      <c r="B19">
        <v>2018</v>
      </c>
      <c r="C19" s="4">
        <v>709</v>
      </c>
      <c r="D19" t="s">
        <v>24</v>
      </c>
      <c r="E19">
        <v>8.1999999999999993</v>
      </c>
      <c r="F19" t="s">
        <v>68</v>
      </c>
    </row>
    <row r="20" spans="1:6" x14ac:dyDescent="0.3">
      <c r="A20" t="s">
        <v>25</v>
      </c>
      <c r="B20">
        <v>2023</v>
      </c>
      <c r="C20" s="4">
        <v>686</v>
      </c>
      <c r="D20" t="s">
        <v>4</v>
      </c>
      <c r="E20">
        <v>8.5</v>
      </c>
      <c r="F20" t="s">
        <v>69</v>
      </c>
    </row>
    <row r="21" spans="1:6" x14ac:dyDescent="0.3">
      <c r="A21" t="s">
        <v>26</v>
      </c>
      <c r="B21">
        <v>2023</v>
      </c>
      <c r="C21" s="4">
        <v>637</v>
      </c>
      <c r="D21" t="s">
        <v>6</v>
      </c>
      <c r="E21">
        <v>8.5</v>
      </c>
      <c r="F21" t="s">
        <v>58</v>
      </c>
    </row>
    <row r="22" spans="1:6" x14ac:dyDescent="0.3">
      <c r="A22" t="s">
        <v>27</v>
      </c>
      <c r="B22">
        <v>2016</v>
      </c>
      <c r="C22" s="4">
        <v>615</v>
      </c>
      <c r="D22" t="s">
        <v>4</v>
      </c>
      <c r="E22">
        <v>8.6</v>
      </c>
      <c r="F22" t="s">
        <v>65</v>
      </c>
    </row>
    <row r="23" spans="1:6" x14ac:dyDescent="0.3">
      <c r="A23" t="s">
        <v>28</v>
      </c>
      <c r="B23">
        <v>2023</v>
      </c>
      <c r="C23" s="4">
        <v>607</v>
      </c>
      <c r="D23" t="s">
        <v>24</v>
      </c>
      <c r="E23">
        <v>9</v>
      </c>
      <c r="F23" t="s">
        <v>68</v>
      </c>
    </row>
    <row r="24" spans="1:6" x14ac:dyDescent="0.3">
      <c r="A24" t="s">
        <v>29</v>
      </c>
      <c r="B24">
        <v>2015</v>
      </c>
      <c r="C24" s="4">
        <v>605</v>
      </c>
      <c r="D24" t="s">
        <v>6</v>
      </c>
      <c r="E24">
        <v>8.8000000000000007</v>
      </c>
      <c r="F24" t="s">
        <v>58</v>
      </c>
    </row>
    <row r="25" spans="1:6" x14ac:dyDescent="0.3">
      <c r="A25" t="s">
        <v>30</v>
      </c>
      <c r="B25">
        <v>2023</v>
      </c>
      <c r="C25" s="4">
        <v>601</v>
      </c>
      <c r="D25" t="s">
        <v>24</v>
      </c>
      <c r="E25">
        <v>8.4</v>
      </c>
      <c r="F25" t="s">
        <v>70</v>
      </c>
    </row>
    <row r="26" spans="1:6" x14ac:dyDescent="0.3">
      <c r="A26" t="s">
        <v>31</v>
      </c>
      <c r="B26">
        <v>2018</v>
      </c>
      <c r="C26" s="4">
        <v>580</v>
      </c>
      <c r="D26" t="s">
        <v>4</v>
      </c>
      <c r="E26">
        <v>8.9</v>
      </c>
      <c r="F26" t="s">
        <v>64</v>
      </c>
    </row>
    <row r="27" spans="1:6" x14ac:dyDescent="0.3">
      <c r="A27" t="s">
        <v>32</v>
      </c>
      <c r="B27">
        <v>2025</v>
      </c>
      <c r="C27" s="4">
        <v>564</v>
      </c>
      <c r="D27" t="s">
        <v>4</v>
      </c>
      <c r="E27">
        <v>8.1</v>
      </c>
      <c r="F27" t="s">
        <v>71</v>
      </c>
    </row>
    <row r="28" spans="1:6" x14ac:dyDescent="0.3">
      <c r="A28" t="s">
        <v>33</v>
      </c>
      <c r="B28">
        <v>2017</v>
      </c>
      <c r="C28" s="4">
        <v>562</v>
      </c>
      <c r="D28" t="s">
        <v>4</v>
      </c>
      <c r="E28">
        <v>8.6</v>
      </c>
      <c r="F28" t="s">
        <v>65</v>
      </c>
    </row>
    <row r="29" spans="1:6" x14ac:dyDescent="0.3">
      <c r="A29" t="s">
        <v>34</v>
      </c>
      <c r="B29">
        <v>2018</v>
      </c>
      <c r="C29" s="4">
        <v>560</v>
      </c>
      <c r="D29" t="s">
        <v>4</v>
      </c>
      <c r="E29">
        <v>8.6</v>
      </c>
      <c r="F29" t="s">
        <v>72</v>
      </c>
    </row>
    <row r="30" spans="1:6" x14ac:dyDescent="0.3">
      <c r="A30" t="s">
        <v>35</v>
      </c>
      <c r="B30">
        <v>2013</v>
      </c>
      <c r="C30" s="4">
        <v>545</v>
      </c>
      <c r="D30" t="s">
        <v>4</v>
      </c>
      <c r="E30">
        <v>7.5</v>
      </c>
      <c r="F30" t="s">
        <v>57</v>
      </c>
    </row>
    <row r="31" spans="1:6" x14ac:dyDescent="0.3">
      <c r="A31" t="s">
        <v>36</v>
      </c>
      <c r="B31">
        <v>2025</v>
      </c>
      <c r="C31" s="4">
        <v>519</v>
      </c>
      <c r="D31" t="s">
        <v>24</v>
      </c>
      <c r="E31">
        <v>7.5</v>
      </c>
      <c r="F31" t="s">
        <v>68</v>
      </c>
    </row>
    <row r="32" spans="1:6" x14ac:dyDescent="0.3">
      <c r="A32" t="s">
        <v>37</v>
      </c>
      <c r="B32">
        <v>2022</v>
      </c>
      <c r="C32" s="4">
        <v>488</v>
      </c>
      <c r="D32" t="s">
        <v>24</v>
      </c>
      <c r="E32">
        <v>8.5</v>
      </c>
      <c r="F32" t="s">
        <v>73</v>
      </c>
    </row>
    <row r="33" spans="1:6" x14ac:dyDescent="0.3">
      <c r="A33" t="s">
        <v>38</v>
      </c>
      <c r="B33">
        <v>2023</v>
      </c>
      <c r="C33" s="4">
        <v>465</v>
      </c>
      <c r="D33" t="s">
        <v>4</v>
      </c>
      <c r="E33">
        <v>7.5</v>
      </c>
      <c r="F33" t="s">
        <v>65</v>
      </c>
    </row>
    <row r="34" spans="1:6" x14ac:dyDescent="0.3">
      <c r="A34" t="s">
        <v>39</v>
      </c>
      <c r="B34">
        <v>2019</v>
      </c>
      <c r="C34" s="4">
        <v>460</v>
      </c>
      <c r="D34" t="s">
        <v>4</v>
      </c>
      <c r="E34">
        <v>7.7</v>
      </c>
      <c r="F34" t="s">
        <v>74</v>
      </c>
    </row>
    <row r="35" spans="1:6" x14ac:dyDescent="0.3">
      <c r="A35" t="s">
        <v>40</v>
      </c>
      <c r="B35">
        <v>2023</v>
      </c>
      <c r="C35" s="4">
        <v>455</v>
      </c>
      <c r="D35" t="s">
        <v>4</v>
      </c>
      <c r="E35">
        <v>7.5</v>
      </c>
      <c r="F35" t="s">
        <v>63</v>
      </c>
    </row>
    <row r="36" spans="1:6" x14ac:dyDescent="0.3">
      <c r="A36" t="s">
        <v>55</v>
      </c>
      <c r="B36">
        <v>2024</v>
      </c>
      <c r="C36" s="4">
        <v>454</v>
      </c>
      <c r="D36" t="s">
        <v>24</v>
      </c>
      <c r="E36">
        <v>7.9</v>
      </c>
      <c r="F36" t="s">
        <v>70</v>
      </c>
    </row>
    <row r="37" spans="1:6" x14ac:dyDescent="0.3">
      <c r="A37" t="s">
        <v>41</v>
      </c>
      <c r="B37">
        <v>2019</v>
      </c>
      <c r="C37" s="4">
        <v>451</v>
      </c>
      <c r="D37" t="s">
        <v>6</v>
      </c>
      <c r="E37">
        <v>7.2</v>
      </c>
      <c r="F37" t="s">
        <v>58</v>
      </c>
    </row>
    <row r="38" spans="1:6" x14ac:dyDescent="0.3">
      <c r="A38" t="s">
        <v>42</v>
      </c>
      <c r="B38">
        <v>2022</v>
      </c>
      <c r="C38" s="4">
        <v>432</v>
      </c>
      <c r="D38" t="s">
        <v>4</v>
      </c>
      <c r="E38">
        <v>7.7</v>
      </c>
      <c r="F38" t="s">
        <v>64</v>
      </c>
    </row>
    <row r="39" spans="1:6" x14ac:dyDescent="0.3">
      <c r="A39" t="s">
        <v>43</v>
      </c>
      <c r="B39">
        <v>2024</v>
      </c>
      <c r="C39" s="4">
        <v>428</v>
      </c>
      <c r="D39" t="s">
        <v>6</v>
      </c>
      <c r="E39">
        <v>8.4</v>
      </c>
      <c r="F39" t="s">
        <v>75</v>
      </c>
    </row>
    <row r="40" spans="1:6" x14ac:dyDescent="0.3">
      <c r="A40" t="s">
        <v>44</v>
      </c>
      <c r="B40">
        <v>2022</v>
      </c>
      <c r="C40" s="4">
        <v>418</v>
      </c>
      <c r="D40" t="s">
        <v>24</v>
      </c>
      <c r="E40">
        <v>9.5</v>
      </c>
      <c r="F40" t="s">
        <v>76</v>
      </c>
    </row>
    <row r="41" spans="1:6" x14ac:dyDescent="0.3">
      <c r="A41" t="s">
        <v>45</v>
      </c>
      <c r="B41">
        <v>2024</v>
      </c>
      <c r="C41" s="4">
        <v>417</v>
      </c>
      <c r="D41" t="s">
        <v>4</v>
      </c>
      <c r="E41">
        <v>5.8</v>
      </c>
      <c r="F41" t="s">
        <v>77</v>
      </c>
    </row>
    <row r="42" spans="1:6" x14ac:dyDescent="0.3">
      <c r="A42" t="s">
        <v>46</v>
      </c>
      <c r="B42">
        <v>2018</v>
      </c>
      <c r="C42" s="4">
        <v>410</v>
      </c>
      <c r="D42" t="s">
        <v>4</v>
      </c>
      <c r="E42">
        <v>8.1999999999999993</v>
      </c>
      <c r="F42" t="s">
        <v>78</v>
      </c>
    </row>
    <row r="43" spans="1:6" x14ac:dyDescent="0.3">
      <c r="A43" t="s">
        <v>48</v>
      </c>
      <c r="B43">
        <v>2022</v>
      </c>
      <c r="C43" s="4">
        <v>407</v>
      </c>
      <c r="D43" t="s">
        <v>12</v>
      </c>
      <c r="E43">
        <v>9.9</v>
      </c>
      <c r="F43" t="s">
        <v>79</v>
      </c>
    </row>
    <row r="44" spans="1:6" x14ac:dyDescent="0.3">
      <c r="A44" t="s">
        <v>47</v>
      </c>
      <c r="B44">
        <v>2023</v>
      </c>
      <c r="C44" s="4">
        <v>401</v>
      </c>
      <c r="D44" t="s">
        <v>4</v>
      </c>
      <c r="E44">
        <v>6.2</v>
      </c>
      <c r="F44" t="s">
        <v>58</v>
      </c>
    </row>
    <row r="45" spans="1:6" x14ac:dyDescent="0.3">
      <c r="A45" t="s">
        <v>49</v>
      </c>
      <c r="B45">
        <v>2014</v>
      </c>
      <c r="C45" s="4">
        <v>397</v>
      </c>
      <c r="D45" t="s">
        <v>4</v>
      </c>
      <c r="E45">
        <v>6.2</v>
      </c>
      <c r="F45" t="s">
        <v>63</v>
      </c>
    </row>
    <row r="46" spans="1:6" x14ac:dyDescent="0.3">
      <c r="A46" t="s">
        <v>50</v>
      </c>
      <c r="B46">
        <v>2009</v>
      </c>
      <c r="C46" s="4">
        <v>396</v>
      </c>
      <c r="D46" t="s">
        <v>4</v>
      </c>
      <c r="E46">
        <v>8.1</v>
      </c>
      <c r="F46" t="s">
        <v>57</v>
      </c>
    </row>
    <row r="47" spans="1:6" x14ac:dyDescent="0.3">
      <c r="A47" t="s">
        <v>51</v>
      </c>
      <c r="B47">
        <v>2013</v>
      </c>
      <c r="C47" s="4">
        <v>392</v>
      </c>
      <c r="D47" t="s">
        <v>4</v>
      </c>
      <c r="E47">
        <v>9.1</v>
      </c>
      <c r="F47" t="s">
        <v>63</v>
      </c>
    </row>
    <row r="48" spans="1:6" x14ac:dyDescent="0.3">
      <c r="A48" t="s">
        <v>52</v>
      </c>
      <c r="B48">
        <v>2024</v>
      </c>
      <c r="C48" s="4">
        <v>386</v>
      </c>
      <c r="D48" t="s">
        <v>4</v>
      </c>
      <c r="E48">
        <v>6.8</v>
      </c>
      <c r="F48" t="s">
        <v>80</v>
      </c>
    </row>
    <row r="49" spans="1:6" x14ac:dyDescent="0.3">
      <c r="A49" t="s">
        <v>53</v>
      </c>
      <c r="B49">
        <v>2018</v>
      </c>
      <c r="C49" s="4">
        <v>385</v>
      </c>
      <c r="D49" t="s">
        <v>4</v>
      </c>
      <c r="E49">
        <v>8.5</v>
      </c>
      <c r="F49" t="s">
        <v>60</v>
      </c>
    </row>
    <row r="50" spans="1:6" x14ac:dyDescent="0.3">
      <c r="A50" t="s">
        <v>54</v>
      </c>
      <c r="B50">
        <v>2014</v>
      </c>
      <c r="C50" s="4">
        <v>378</v>
      </c>
      <c r="D50" t="s">
        <v>4</v>
      </c>
      <c r="E50">
        <v>7.7</v>
      </c>
      <c r="F50" t="s">
        <v>65</v>
      </c>
    </row>
    <row r="51" spans="1:6" x14ac:dyDescent="0.3">
      <c r="A51" t="s">
        <v>90</v>
      </c>
      <c r="B51">
        <v>2013</v>
      </c>
      <c r="C51" s="4">
        <v>376</v>
      </c>
      <c r="D51" t="s">
        <v>4</v>
      </c>
      <c r="E51">
        <v>7.2</v>
      </c>
      <c r="F51" t="s">
        <v>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30F7-BD72-48DB-B5D4-DB729478AD03}">
  <dimension ref="A1:Q61"/>
  <sheetViews>
    <sheetView showGridLines="0" showRowColHeaders="0" tabSelected="1" topLeftCell="A2" workbookViewId="0">
      <selection activeCell="J16" sqref="J16"/>
    </sheetView>
  </sheetViews>
  <sheetFormatPr defaultRowHeight="14.4" x14ac:dyDescent="0.3"/>
  <cols>
    <col min="1" max="1" width="23.109375" customWidth="1"/>
    <col min="2" max="2" width="11.109375" customWidth="1"/>
    <col min="3" max="3" width="21.88671875" customWidth="1"/>
    <col min="5" max="5" width="23.44140625" customWidth="1"/>
    <col min="6" max="6" width="9.33203125" customWidth="1"/>
    <col min="7" max="7" width="22.109375" customWidth="1"/>
    <col min="10" max="10" width="23.21875" customWidth="1"/>
    <col min="11" max="11" width="12.6640625" customWidth="1"/>
    <col min="12" max="12" width="12.88671875" customWidth="1"/>
    <col min="16" max="16" width="22.77734375" customWidth="1"/>
    <col min="17" max="17" width="12.21875" customWidth="1"/>
  </cols>
  <sheetData>
    <row r="1" spans="1:17" ht="23.4" x14ac:dyDescent="0.45">
      <c r="A1" s="16" t="s">
        <v>87</v>
      </c>
      <c r="B1" s="16"/>
      <c r="C1" s="16"/>
      <c r="D1" s="16"/>
      <c r="E1" s="16"/>
      <c r="F1" s="16"/>
    </row>
    <row r="2" spans="1:17" ht="15.6" x14ac:dyDescent="0.3">
      <c r="P2" s="5" t="s">
        <v>81</v>
      </c>
      <c r="Q2" s="6">
        <f>ROWS(Data!A2:A51)</f>
        <v>50</v>
      </c>
    </row>
    <row r="3" spans="1:17" ht="15.6" x14ac:dyDescent="0.3">
      <c r="P3" s="5" t="s">
        <v>83</v>
      </c>
      <c r="Q3" s="7">
        <f>SUM(Data!C2:C51)</f>
        <v>36441</v>
      </c>
    </row>
    <row r="4" spans="1:17" ht="15.6" x14ac:dyDescent="0.3">
      <c r="D4" t="s">
        <v>86</v>
      </c>
      <c r="E4" t="s">
        <v>86</v>
      </c>
      <c r="P4" s="5" t="s">
        <v>84</v>
      </c>
      <c r="Q4" s="6" t="str">
        <f>INDEX(Data!A:A, MATCH(MAX(Data!C:C), Data!C:C, 0))</f>
        <v>Dangal</v>
      </c>
    </row>
    <row r="5" spans="1:17" ht="15.6" x14ac:dyDescent="0.3">
      <c r="P5" s="5" t="s">
        <v>85</v>
      </c>
      <c r="Q5" s="8">
        <f>ROUND(AVERAGE(Data!C:C),2)</f>
        <v>728.82</v>
      </c>
    </row>
    <row r="7" spans="1:17" x14ac:dyDescent="0.3">
      <c r="P7" t="str">
        <f>INDEX(Data!A2:A51, MATCH(MAX(Data!C2:C51), Data!C2:C51, 0))</f>
        <v>Dangal</v>
      </c>
    </row>
    <row r="51" spans="1:3" ht="15.6" x14ac:dyDescent="0.3">
      <c r="A51" s="9" t="str">
        <f>Data!A1</f>
        <v>Movie Name</v>
      </c>
      <c r="B51" s="9" t="str">
        <f>Data!B1</f>
        <v>Year</v>
      </c>
      <c r="C51" s="9" t="str">
        <f>Data!C1</f>
        <v>Collection CR</v>
      </c>
    </row>
    <row r="52" spans="1:3" x14ac:dyDescent="0.3">
      <c r="A52" t="str">
        <f>Data!A2</f>
        <v>Dangal</v>
      </c>
      <c r="B52">
        <f>Data!B2</f>
        <v>2016</v>
      </c>
      <c r="C52" s="2">
        <f>Data!C2</f>
        <v>1958</v>
      </c>
    </row>
    <row r="53" spans="1:3" x14ac:dyDescent="0.3">
      <c r="A53" t="str">
        <f>Data!A3</f>
        <v>Baahubali 2</v>
      </c>
      <c r="B53">
        <f>Data!B3</f>
        <v>2017</v>
      </c>
      <c r="C53" s="2">
        <f>Data!C3</f>
        <v>1810</v>
      </c>
    </row>
    <row r="54" spans="1:3" x14ac:dyDescent="0.3">
      <c r="A54" t="str">
        <f>Data!A4</f>
        <v>Pushpa2: The Rule</v>
      </c>
      <c r="B54">
        <f>Data!B4</f>
        <v>2024</v>
      </c>
      <c r="C54" s="2">
        <f>Data!C4</f>
        <v>1775</v>
      </c>
    </row>
    <row r="55" spans="1:3" x14ac:dyDescent="0.3">
      <c r="A55" t="str">
        <f>Data!A5</f>
        <v>Dhurandhar2: The Revenge</v>
      </c>
      <c r="B55">
        <f>Data!B5</f>
        <v>2026</v>
      </c>
      <c r="C55" s="2">
        <f>Data!C5</f>
        <v>1720</v>
      </c>
    </row>
    <row r="56" spans="1:3" x14ac:dyDescent="0.3">
      <c r="A56" t="str">
        <f>Data!A6</f>
        <v>Dhurandar</v>
      </c>
      <c r="B56">
        <f>Data!B6</f>
        <v>2025</v>
      </c>
      <c r="C56" s="2">
        <f>Data!C6</f>
        <v>1315</v>
      </c>
    </row>
    <row r="57" spans="1:3" x14ac:dyDescent="0.3">
      <c r="A57" t="s">
        <v>10</v>
      </c>
      <c r="B57">
        <v>2022</v>
      </c>
      <c r="C57" s="2">
        <v>1300</v>
      </c>
    </row>
    <row r="58" spans="1:3" x14ac:dyDescent="0.3">
      <c r="A58" t="s">
        <v>11</v>
      </c>
      <c r="B58">
        <v>2022</v>
      </c>
      <c r="C58" s="2">
        <v>1233</v>
      </c>
    </row>
    <row r="59" spans="1:3" x14ac:dyDescent="0.3">
      <c r="C59" s="10"/>
    </row>
    <row r="60" spans="1:3" x14ac:dyDescent="0.3">
      <c r="C60" s="2"/>
    </row>
    <row r="61" spans="1:3" x14ac:dyDescent="0.3">
      <c r="C61" s="2"/>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Movie</vt:lpstr>
      <vt:lpstr>KPI</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jayasankar2718@outlook.com</dc:creator>
  <cp:lastModifiedBy>jayasankar2718@outlook.com</cp:lastModifiedBy>
  <dcterms:created xsi:type="dcterms:W3CDTF">2026-04-14T12:43:57Z</dcterms:created>
  <dcterms:modified xsi:type="dcterms:W3CDTF">2026-04-16T06:41:31Z</dcterms:modified>
</cp:coreProperties>
</file>